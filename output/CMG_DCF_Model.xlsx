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s" sheetId="2" state="visible" r:id="rId2"/>
    <sheet name="Assumptions" sheetId="3" state="visible" r:id="rId3"/>
    <sheet name="WACC" sheetId="4" state="visible" r:id="rId4"/>
    <sheet name="DCF" sheetId="5" state="visible" r:id="rId5"/>
    <sheet name="Terminal Value" sheetId="6" state="visible" r:id="rId6"/>
    <sheet name="Valuation Bridge" sheetId="7" state="visible" r:id="rId7"/>
    <sheet name="Sensitivity" sheetId="8" state="visible" r:id="rId8"/>
  </sheets>
  <definedNames>
    <definedName name="_xlnm.Print_Area" localSheetId="0">'Summary'!$A$1:$C$34</definedName>
    <definedName name="_xlnm.Print_Area" localSheetId="1">'Historicals'!$A$1:$G$97</definedName>
    <definedName name="_xlnm.Print_Area" localSheetId="2">'Assumptions'!$A$1:$G$40</definedName>
    <definedName name="_xlnm.Print_Area" localSheetId="3">'WACC'!$A$1:$C$48</definedName>
    <definedName name="_xlnm.Print_Area" localSheetId="4">'DCF'!$A$1:$G$34</definedName>
    <definedName name="_xlnm.Print_Area" localSheetId="5">'Terminal Value'!$A$1:$D$49</definedName>
    <definedName name="_xlnm.Print_Area" localSheetId="6">'Valuation Bridge'!$A$1:$C$26</definedName>
    <definedName name="_xlnm.Print_Area" localSheetId="7">'Sensitivity'!$A$1:$I$45</definedName>
  </definedNames>
  <calcPr calcId="124519" fullCalcOnLoad="1"/>
</workbook>
</file>

<file path=xl/styles.xml><?xml version="1.0" encoding="utf-8"?>
<styleSheet xmlns="http://schemas.openxmlformats.org/spreadsheetml/2006/main">
  <numFmts count="12">
    <numFmt numFmtId="164" formatCode="#,##0.0;(#,##0.0)"/>
    <numFmt numFmtId="165" formatCode="0.0%;(0.0%)"/>
    <numFmt numFmtId="166" formatCode="0.0&quot;x&quot;"/>
    <numFmt numFmtId="167" formatCode="#,##0;(#,##0)"/>
    <numFmt numFmtId="168" formatCode="0.000&quot;x&quot;"/>
    <numFmt numFmtId="169" formatCode="$#,##0.000"/>
    <numFmt numFmtId="170" formatCode="0.0000&quot;x&quot;"/>
    <numFmt numFmtId="171" formatCode="0.00%;(0.00%)"/>
    <numFmt numFmtId="172" formatCode="0.00&quot;x&quot;"/>
    <numFmt numFmtId="173" formatCode="$#,##0.00;($#,##0.00)"/>
    <numFmt numFmtId="174" formatCode="0.00000&quot;x&quot;"/>
    <numFmt numFmtId="175" formatCode="0.0"/>
  </numFmts>
  <fonts count="24">
    <font>
      <name val="Calibri"/>
      <family val="2"/>
      <color theme="1"/>
      <sz val="11"/>
      <scheme val="minor"/>
    </font>
    <font>
      <b val="1"/>
      <color rgb="FFFFFFFF"/>
      <sz val="14"/>
    </font>
    <font>
      <i val="1"/>
      <color rgb="FF7F7F7F"/>
      <sz val="9"/>
    </font>
    <font>
      <b val="1"/>
    </font>
    <font>
      <b val="1"/>
      <sz val="9"/>
    </font>
    <font>
      <b val="1"/>
      <sz val="10"/>
    </font>
    <font>
      <color rgb="FF7F7F7F"/>
      <sz val="8"/>
    </font>
    <font>
      <b val="1"/>
      <color rgb="FF0000FF"/>
      <sz val="10"/>
    </font>
    <font>
      <i val="1"/>
      <color rgb="FF7F7F7F"/>
      <sz val="8"/>
    </font>
    <font>
      <sz val="10"/>
    </font>
    <font>
      <color rgb="FF0000FF"/>
      <sz val="10"/>
    </font>
    <font>
      <color rgb="FF000000"/>
      <sz val="10"/>
    </font>
    <font>
      <b val="1"/>
      <color rgb="FF000000"/>
      <sz val="10"/>
    </font>
    <font>
      <i val="1"/>
      <sz val="10"/>
    </font>
    <font>
      <i val="1"/>
      <color rgb="FF0000FF"/>
      <sz val="10"/>
    </font>
    <font>
      <i val="1"/>
      <color rgb="FF000000"/>
      <sz val="10"/>
    </font>
    <font>
      <b val="1"/>
      <i val="1"/>
      <sz val="10"/>
    </font>
    <font>
      <b val="1"/>
      <i val="1"/>
      <color rgb="FF000000"/>
      <sz val="10"/>
    </font>
    <font>
      <color rgb="FF008000"/>
      <sz val="10"/>
    </font>
    <font>
      <i val="1"/>
      <color rgb="FF008000"/>
      <sz val="10"/>
    </font>
    <font>
      <b val="1"/>
      <color rgb="FF008000"/>
      <sz val="10"/>
    </font>
    <font>
      <b val="1"/>
      <sz val="11"/>
    </font>
    <font>
      <b val="1"/>
      <color rgb="FF0000FF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bottom style="medium">
        <color rgb="FF1F3864"/>
      </bottom>
    </border>
    <border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73" fontId="20" fillId="5" borderId="0" pivotButton="0" quotePrefix="0" xfId="0"/>
    <xf numFmtId="173" fontId="20" fillId="0" borderId="0" pivotButton="0" quotePrefix="0" xfId="0"/>
    <xf numFmtId="0" fontId="6" fillId="0" borderId="0" applyAlignment="1" pivotButton="0" quotePrefix="0" xfId="0">
      <alignment vertical="top"/>
    </xf>
    <xf numFmtId="165" fontId="20" fillId="5" borderId="0" pivotButton="0" quotePrefix="0" xfId="0"/>
    <xf numFmtId="164" fontId="20" fillId="0" borderId="0" pivotButton="0" quotePrefix="0" xfId="0"/>
    <xf numFmtId="49" fontId="20" fillId="0" borderId="0" pivotButton="0" quotePrefix="0" xfId="0"/>
    <xf numFmtId="0" fontId="9" fillId="0" borderId="0" pivotButton="0" quotePrefix="0" xfId="0"/>
    <xf numFmtId="165" fontId="18" fillId="0" borderId="0" pivotButton="0" quotePrefix="0" xfId="0"/>
    <xf numFmtId="167" fontId="18" fillId="0" borderId="0" pivotButton="0" quotePrefix="0" xfId="0"/>
    <xf numFmtId="171" fontId="20" fillId="0" borderId="0" pivotButton="0" quotePrefix="0" xfId="0"/>
    <xf numFmtId="166" fontId="18" fillId="0" borderId="0" pivotButton="0" quotePrefix="0" xfId="0"/>
    <xf numFmtId="49" fontId="18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4" fillId="0" borderId="0" pivotButton="0" quotePrefix="0" xfId="0"/>
    <xf numFmtId="164" fontId="7" fillId="0" borderId="0" pivotButton="0" quotePrefix="0" xfId="0"/>
    <xf numFmtId="164" fontId="10" fillId="0" borderId="0" pivotButton="0" quotePrefix="0" xfId="0"/>
    <xf numFmtId="164" fontId="11" fillId="0" borderId="2" pivotButton="0" quotePrefix="0" xfId="0"/>
    <xf numFmtId="164" fontId="12" fillId="0" borderId="2" pivotButton="0" quotePrefix="0" xfId="0"/>
    <xf numFmtId="0" fontId="13" fillId="0" borderId="0" pivotButton="0" quotePrefix="0" xfId="0"/>
    <xf numFmtId="164" fontId="14" fillId="0" borderId="0" pivotButton="0" quotePrefix="0" xfId="0"/>
    <xf numFmtId="164" fontId="15" fillId="0" borderId="0" pivotButton="0" quotePrefix="0" xfId="0"/>
    <xf numFmtId="164" fontId="12" fillId="0" borderId="0" pivotButton="0" quotePrefix="0" xfId="0"/>
    <xf numFmtId="165" fontId="10" fillId="0" borderId="0" pivotButton="0" quotePrefix="0" xfId="0"/>
    <xf numFmtId="165" fontId="15" fillId="0" borderId="0" pivotButton="0" quotePrefix="0" xfId="0"/>
    <xf numFmtId="165" fontId="11" fillId="0" borderId="0" pivotButton="0" quotePrefix="0" xfId="0"/>
    <xf numFmtId="165" fontId="12" fillId="0" borderId="0" pivotButton="0" quotePrefix="0" xfId="0"/>
    <xf numFmtId="165" fontId="12" fillId="0" borderId="2" pivotButton="0" quotePrefix="0" xfId="0"/>
    <xf numFmtId="166" fontId="11" fillId="0" borderId="0" pivotButton="0" quotePrefix="0" xfId="0"/>
    <xf numFmtId="164" fontId="11" fillId="0" borderId="0" pivotButton="0" quotePrefix="0" xfId="0"/>
    <xf numFmtId="0" fontId="16" fillId="0" borderId="0" pivotButton="0" quotePrefix="0" xfId="0"/>
    <xf numFmtId="164" fontId="17" fillId="0" borderId="2" pivotButton="0" quotePrefix="0" xfId="0"/>
    <xf numFmtId="167" fontId="10" fillId="0" borderId="0" pivotButton="0" quotePrefix="0" xfId="0"/>
    <xf numFmtId="168" fontId="11" fillId="0" borderId="0" pivotButton="0" quotePrefix="0" xfId="0"/>
    <xf numFmtId="167" fontId="12" fillId="0" borderId="2" pivotButton="0" quotePrefix="0" xfId="0"/>
    <xf numFmtId="167" fontId="14" fillId="0" borderId="0" pivotButton="0" quotePrefix="0" xfId="0"/>
    <xf numFmtId="167" fontId="15" fillId="0" borderId="0" pivotButton="0" quotePrefix="0" xfId="0"/>
    <xf numFmtId="167" fontId="11" fillId="0" borderId="0" pivotButton="0" quotePrefix="0" xfId="0"/>
    <xf numFmtId="169" fontId="10" fillId="0" borderId="0" pivotButton="0" quotePrefix="0" xfId="0"/>
    <xf numFmtId="170" fontId="12" fillId="0" borderId="0" pivotButton="0" quotePrefix="0" xfId="0"/>
    <xf numFmtId="170" fontId="15" fillId="0" borderId="0" pivotButton="0" quotePrefix="0" xfId="0"/>
    <xf numFmtId="169" fontId="18" fillId="0" borderId="0" pivotButton="0" quotePrefix="0" xfId="0"/>
    <xf numFmtId="170" fontId="10" fillId="0" borderId="0" pivotButton="0" quotePrefix="0" xfId="0"/>
    <xf numFmtId="164" fontId="12" fillId="5" borderId="2" pivotButton="0" quotePrefix="0" xfId="0"/>
    <xf numFmtId="165" fontId="14" fillId="0" borderId="0" pivotButton="0" quotePrefix="0" xfId="0"/>
    <xf numFmtId="165" fontId="7" fillId="0" borderId="0" pivotButton="0" quotePrefix="0" xfId="0"/>
    <xf numFmtId="165" fontId="19" fillId="0" borderId="0" pivotButton="0" quotePrefix="0" xfId="0"/>
    <xf numFmtId="1" fontId="10" fillId="0" borderId="0" pivotButton="0" quotePrefix="0" xfId="0"/>
    <xf numFmtId="171" fontId="7" fillId="0" borderId="0" pivotButton="0" quotePrefix="0" xfId="0"/>
    <xf numFmtId="49" fontId="19" fillId="0" borderId="0" pivotButton="0" quotePrefix="0" xfId="0"/>
    <xf numFmtId="171" fontId="10" fillId="0" borderId="0" pivotButton="0" quotePrefix="0" xfId="0"/>
    <xf numFmtId="172" fontId="10" fillId="0" borderId="0" pivotButton="0" quotePrefix="0" xfId="0"/>
    <xf numFmtId="171" fontId="12" fillId="5" borderId="0" pivotButton="0" quotePrefix="0" xfId="0"/>
    <xf numFmtId="171" fontId="11" fillId="0" borderId="0" pivotButton="0" quotePrefix="0" xfId="0"/>
    <xf numFmtId="173" fontId="10" fillId="0" borderId="0" pivotButton="0" quotePrefix="0" xfId="0"/>
    <xf numFmtId="174" fontId="10" fillId="0" borderId="0" pivotButton="0" quotePrefix="0" xfId="0"/>
    <xf numFmtId="167" fontId="12" fillId="0" borderId="0" pivotButton="0" quotePrefix="0" xfId="0"/>
    <xf numFmtId="49" fontId="15" fillId="0" borderId="0" pivotButton="0" quotePrefix="0" xfId="0"/>
    <xf numFmtId="164" fontId="19" fillId="0" borderId="0" pivotButton="0" quotePrefix="0" xfId="0"/>
    <xf numFmtId="164" fontId="18" fillId="0" borderId="0" pivotButton="0" quotePrefix="0" xfId="0"/>
    <xf numFmtId="166" fontId="12" fillId="5" borderId="0" pivotButton="0" quotePrefix="0" xfId="0"/>
    <xf numFmtId="164" fontId="12" fillId="5" borderId="3" pivotButton="0" quotePrefix="0" xfId="0"/>
    <xf numFmtId="175" fontId="10" fillId="0" borderId="0" pivotButton="0" quotePrefix="0" xfId="0"/>
    <xf numFmtId="175" fontId="11" fillId="0" borderId="0" pivotButton="0" quotePrefix="0" xfId="0"/>
    <xf numFmtId="170" fontId="11" fillId="0" borderId="0" pivotButton="0" quotePrefix="0" xfId="0"/>
    <xf numFmtId="164" fontId="12" fillId="5" borderId="0" pivotButton="0" quotePrefix="0" xfId="0"/>
    <xf numFmtId="166" fontId="10" fillId="0" borderId="0" pivotButton="0" quotePrefix="0" xfId="0"/>
    <xf numFmtId="166" fontId="19" fillId="0" borderId="0" pivotButton="0" quotePrefix="0" xfId="0"/>
    <xf numFmtId="166" fontId="12" fillId="0" borderId="0" pivotButton="0" quotePrefix="0" xfId="0"/>
    <xf numFmtId="171" fontId="12" fillId="0" borderId="0" pivotButton="0" quotePrefix="0" xfId="0"/>
    <xf numFmtId="165" fontId="12" fillId="5" borderId="0" pivotButton="0" quotePrefix="0" xfId="0"/>
    <xf numFmtId="173" fontId="12" fillId="5" borderId="3" pivotButton="0" quotePrefix="0" xfId="0"/>
    <xf numFmtId="173" fontId="18" fillId="0" borderId="0" pivotButton="0" quotePrefix="0" xfId="0"/>
    <xf numFmtId="49" fontId="12" fillId="0" borderId="0" pivotButton="0" quotePrefix="0" xfId="0"/>
    <xf numFmtId="0" fontId="21" fillId="0" borderId="0" pivotButton="0" quotePrefix="0" xfId="0"/>
    <xf numFmtId="0" fontId="4" fillId="3" borderId="0" applyAlignment="1" pivotButton="0" quotePrefix="0" xfId="0">
      <alignment horizontal="center"/>
    </xf>
    <xf numFmtId="171" fontId="22" fillId="3" borderId="0" applyAlignment="1" pivotButton="0" quotePrefix="0" xfId="0">
      <alignment horizontal="center"/>
    </xf>
    <xf numFmtId="171" fontId="22" fillId="3" borderId="0" pivotButton="0" quotePrefix="0" xfId="0"/>
    <xf numFmtId="173" fontId="23" fillId="0" borderId="4" pivotButton="0" quotePrefix="0" xfId="0"/>
    <xf numFmtId="173" fontId="4" fillId="6" borderId="5" pivotButton="0" quotePrefix="0" xfId="0"/>
    <xf numFmtId="165" fontId="2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  <col width="60" customWidth="1" min="9" max="9"/>
  </cols>
  <sheetData>
    <row r="1">
      <c r="A1" s="1" t="inlineStr">
        <is>
          <t>CHIPOTLE MEXICAN GRILL (NYSE: CMG) - DCF VALUATION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OUTPUT | One-page valuation conclusion. Every figure links to the supporting tabs - nothing here is typed.</t>
        </is>
      </c>
    </row>
    <row r="4">
      <c r="A4" s="4" t="inlineStr">
        <is>
          <t>VALUATION CONCLUSION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6" t="inlineStr">
        <is>
          <t>Implied share price (DCF)</t>
        </is>
      </c>
      <c r="B5" s="7" t="inlineStr">
        <is>
          <t>$</t>
        </is>
      </c>
      <c r="C5" s="8">
        <f>'Valuation Bridge'!C13</f>
        <v/>
      </c>
    </row>
    <row r="6">
      <c r="A6" s="6" t="inlineStr">
        <is>
          <t>Current market price</t>
        </is>
      </c>
      <c r="B6" s="7" t="inlineStr">
        <is>
          <t>$</t>
        </is>
      </c>
      <c r="C6" s="9">
        <f>'Valuation Bridge'!C16</f>
        <v/>
      </c>
      <c r="I6" s="10" t="inlineStr">
        <is>
          <t>stockanalysis.com/stocks/cmg/, closing price 2026-09-04 (last completed session); retrieved 2026-09-06.</t>
        </is>
      </c>
    </row>
    <row r="7">
      <c r="A7" s="6" t="inlineStr">
        <is>
          <t>Implied upside / (downside)</t>
        </is>
      </c>
      <c r="B7" s="7" t="inlineStr">
        <is>
          <t>%</t>
        </is>
      </c>
      <c r="C7" s="11">
        <f>'Valuation Bridge'!C17</f>
        <v/>
      </c>
    </row>
    <row r="8">
      <c r="A8" s="6" t="inlineStr">
        <is>
          <t>Implied enterprise value</t>
        </is>
      </c>
      <c r="B8" s="7" t="inlineStr">
        <is>
          <t>$mm</t>
        </is>
      </c>
      <c r="C8" s="12">
        <f>'Valuation Bridge'!C7</f>
        <v/>
      </c>
    </row>
    <row r="9">
      <c r="A9" s="6" t="inlineStr">
        <is>
          <t>Implied equity value</t>
        </is>
      </c>
      <c r="B9" s="7" t="inlineStr">
        <is>
          <t>$mm</t>
        </is>
      </c>
      <c r="C9" s="12">
        <f>'Valuation Bridge'!C11</f>
        <v/>
      </c>
    </row>
    <row r="10">
      <c r="A10" s="6" t="inlineStr">
        <is>
          <t>Verdict</t>
        </is>
      </c>
      <c r="B10" s="7" t="inlineStr"/>
      <c r="C10" s="13">
        <f>'Valuation Bridge'!C18</f>
        <v/>
      </c>
    </row>
    <row r="12">
      <c r="A12" s="4" t="inlineStr">
        <is>
          <t>KEY ASSUMPTIONS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14" t="inlineStr">
        <is>
          <t>Revenue CAGR, FY2025A-FY2030E</t>
        </is>
      </c>
      <c r="B13" s="7" t="inlineStr">
        <is>
          <t>%</t>
        </is>
      </c>
      <c r="C13" s="15">
        <f>Assumptions!G20</f>
        <v/>
      </c>
      <c r="I13" s="10" t="inlineStr">
        <is>
          <t>Driven by unit growth of ~7%/yr plus low-single-digit AUV growth.</t>
        </is>
      </c>
    </row>
    <row r="14">
      <c r="A14" s="14" t="inlineStr">
        <is>
          <t>Restaurants at FY2030E</t>
        </is>
      </c>
      <c r="B14" s="7" t="inlineStr">
        <is>
          <t>#</t>
        </is>
      </c>
      <c r="C14" s="16">
        <f>Assumptions!G11</f>
        <v/>
      </c>
      <c r="I14" s="10" t="inlineStr">
        <is>
          <t>From 4,042 at FY2025A. Long-term company goal is 7,000 in the U.S. and Canada.</t>
        </is>
      </c>
    </row>
    <row r="15">
      <c r="A15" s="14" t="inlineStr">
        <is>
          <t>EBIT margin, FY2026E (trough)</t>
        </is>
      </c>
      <c r="B15" s="7" t="inlineStr">
        <is>
          <t>%</t>
        </is>
      </c>
      <c r="C15" s="15">
        <f>Assumptions!C25</f>
        <v/>
      </c>
    </row>
    <row r="16">
      <c r="A16" s="14" t="inlineStr">
        <is>
          <t>Terminal EBIT margin, FY2030E</t>
        </is>
      </c>
      <c r="B16" s="7" t="inlineStr">
        <is>
          <t>%</t>
        </is>
      </c>
      <c r="C16" s="15">
        <f>Assumptions!G25</f>
        <v/>
      </c>
      <c r="I16" s="10" t="inlineStr">
        <is>
          <t>Recovers to the FY2025A level; still below the FY2024A peak of 16.9%.</t>
        </is>
      </c>
    </row>
    <row r="17">
      <c r="A17" s="14" t="inlineStr">
        <is>
          <t>Effective tax rate</t>
        </is>
      </c>
      <c r="B17" s="7" t="inlineStr">
        <is>
          <t>%</t>
        </is>
      </c>
      <c r="C17" s="15">
        <f>Assumptions!C29</f>
        <v/>
      </c>
    </row>
    <row r="18">
      <c r="A18" s="6" t="inlineStr">
        <is>
          <t>WACC</t>
        </is>
      </c>
      <c r="B18" s="7" t="inlineStr">
        <is>
          <t>%</t>
        </is>
      </c>
      <c r="C18" s="17">
        <f>WACC!C28</f>
        <v/>
      </c>
      <c r="I18" s="10" t="inlineStr">
        <is>
          <t>Equals the cost of equity - Chipotle has no debt.</t>
        </is>
      </c>
    </row>
    <row r="19">
      <c r="A19" s="6" t="inlineStr">
        <is>
          <t>Terminal growth rate</t>
        </is>
      </c>
      <c r="B19" s="7" t="inlineStr">
        <is>
          <t>%</t>
        </is>
      </c>
      <c r="C19" s="17">
        <f>Assumptions!C38</f>
        <v/>
      </c>
    </row>
    <row r="20">
      <c r="A20" s="14" t="inlineStr">
        <is>
          <t>Terminal value as % of enterprise value</t>
        </is>
      </c>
      <c r="B20" s="7" t="inlineStr">
        <is>
          <t>%</t>
        </is>
      </c>
      <c r="C20" s="15">
        <f>'Terminal Value'!C47</f>
        <v/>
      </c>
    </row>
    <row r="21">
      <c r="A21" s="14" t="inlineStr">
        <is>
          <t>Implied exit EV/EBITDA (from the Gordon Growth TV)</t>
        </is>
      </c>
      <c r="B21" s="7" t="inlineStr">
        <is>
          <t>x</t>
        </is>
      </c>
      <c r="C21" s="18">
        <f>'Terminal Value'!C32</f>
        <v/>
      </c>
    </row>
    <row r="22">
      <c r="A22" s="14" t="inlineStr">
        <is>
          <t>CMG's current EV / LTM EBITDA</t>
        </is>
      </c>
      <c r="B22" s="7" t="inlineStr">
        <is>
          <t>x</t>
        </is>
      </c>
      <c r="C22" s="18">
        <f>WACC!C47</f>
        <v/>
      </c>
    </row>
    <row r="24">
      <c r="A24" s="4" t="inlineStr">
        <is>
          <t>VALUATION CONCLUSION - THREE SENTENCES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14" t="inlineStr">
        <is>
          <t>1.</t>
        </is>
      </c>
      <c r="B25" s="7" t="inlineStr"/>
      <c r="C25" s="19">
        <f>"On a units-times-AUV revenue build reaching "&amp;TEXT(C14,"#,##0")&amp;" restaurants by FY2030E, an EBIT margin that troughs at "&amp;TEXT(C15,"0.0%")&amp;" in FY2026E before recovering to "&amp;TEXT(C16,"0.0%")&amp;", a "&amp;TEXT(C18,"0.00%")&amp;" WACC and "&amp;TEXT(C19,"0.00%")&amp;" terminal growth, the model produces an implied value of "&amp;TEXT(C5,"$#,##0.00")&amp;" per share against a market price of "&amp;TEXT(C6,"$#,##0.00")&amp;", or "&amp;TEXT(C7,"0.0%")&amp;"."</f>
        <v/>
      </c>
    </row>
    <row r="26">
      <c r="A26" s="14" t="inlineStr">
        <is>
          <t>2.</t>
        </is>
      </c>
      <c r="B26" s="7" t="inlineStr"/>
      <c r="C26" s="19">
        <f>"The gap is not an arithmetic error: it is the growth premium in the share price. The Gordon Growth terminal value implies an exit multiple of only "&amp;TEXT(C21,"0.0")&amp;"x EBITDA against the "&amp;TEXT(C22,"0.0")&amp;"x CMG trades at today, so the market is embedding either a materially lower discount rate or long-run growth well above nominal GDP."</f>
        <v/>
      </c>
    </row>
    <row r="27">
      <c r="A27" s="14" t="inlineStr">
        <is>
          <t>3.</t>
        </is>
      </c>
      <c r="B27" s="7" t="inlineStr"/>
      <c r="C27" s="19">
        <f>"With "&amp;TEXT(C20,"0%")&amp;" of enterprise value sitting in the terminal value, the conclusion is a statement about the discount rate and terminal assumptions rather than about the five forecast years - which is why the Sensitivity tab, not the base case, is the real output of this model."</f>
        <v/>
      </c>
    </row>
    <row r="29">
      <c r="A29" s="4" t="inlineStr">
        <is>
          <t>HOW TO READ THIS WORKBOOK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</row>
    <row r="30">
      <c r="A30" s="20" t="inlineStr">
        <is>
          <t>Font convention:  BLUE = hardcoded input   BLACK = formula on this sheet   GREEN = link to another sheet.</t>
        </is>
      </c>
    </row>
    <row r="31">
      <c r="A31" s="20" t="inlineStr">
        <is>
          <t>Tab colours:  BLUE tabs are inputs (Historicals, Assumptions).  ORANGE tabs are calculations (WACC, DCF, Terminal Value).  GREEN tabs are outputs (Summary, Valuation Bridge, Sensitivity).</t>
        </is>
      </c>
    </row>
    <row r="32">
      <c r="A32" s="20" t="inlineStr">
        <is>
          <t>Every input cell carries a source note in column I. No number in this workbook is unsourced.</t>
        </is>
      </c>
    </row>
    <row r="33">
      <c r="A33" s="20" t="inlineStr">
        <is>
          <t>Trace any figure by clicking it and pressing Ctrl+[ (Windows) or Ctrl+Alt+[ (Mac) to jump to its precedents.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I9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  <col width="96" customWidth="1" min="9" max="9"/>
  </cols>
  <sheetData>
    <row r="1">
      <c r="A1" s="1" t="inlineStr">
        <is>
          <t>HISTORICALS - FY2021A to FY2025A (as reported)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INPUT | Actuals from Chipotle's 10-K filings. Blue = as filed. Black = computed margins and ratios that ground the forecast.</t>
        </is>
      </c>
    </row>
    <row r="4">
      <c r="A4" s="21" t="inlineStr"/>
      <c r="B4" s="22" t="inlineStr">
        <is>
          <t>Units</t>
        </is>
      </c>
      <c r="C4" s="23" t="inlineStr">
        <is>
          <t>FY2021A</t>
        </is>
      </c>
      <c r="D4" s="23" t="inlineStr">
        <is>
          <t>FY2022A</t>
        </is>
      </c>
      <c r="E4" s="23" t="inlineStr">
        <is>
          <t>FY2023A</t>
        </is>
      </c>
      <c r="F4" s="23" t="inlineStr">
        <is>
          <t>FY2024A</t>
        </is>
      </c>
      <c r="G4" s="23" t="inlineStr">
        <is>
          <t>FY2025A</t>
        </is>
      </c>
      <c r="I4" s="24" t="inlineStr">
        <is>
          <t>Source / note</t>
        </is>
      </c>
    </row>
    <row r="5">
      <c r="A5" s="4" t="inlineStr">
        <is>
          <t>INCOME STATEMENT ($ in millions, as reported)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Total revenue</t>
        </is>
      </c>
      <c r="B6" s="7" t="inlineStr">
        <is>
          <t>$mm</t>
        </is>
      </c>
      <c r="C6" s="25" t="n">
        <v>7547.061</v>
      </c>
      <c r="D6" s="25" t="n">
        <v>8634.652</v>
      </c>
      <c r="E6" s="25" t="n">
        <v>9871.648999999999</v>
      </c>
      <c r="F6" s="25" t="n">
        <v>11313.853</v>
      </c>
      <c r="G6" s="25" t="n">
        <v>11925.601</v>
      </c>
      <c r="I6" s="10" t="inlineStr">
        <is>
          <t>FY2025 10-K (filed 2026-02-04, accn 0001058090-26-000009) Consolidated Statements of Income for FY2023-25; FY2023 10-K (filed 2024-02-08, accn 0001562762-24-000023) for FY2021-22</t>
        </is>
      </c>
    </row>
    <row r="7">
      <c r="A7" s="20" t="inlineStr">
        <is>
          <t>Restaurant operating costs (exclusive of D&amp;A shown separately):</t>
        </is>
      </c>
    </row>
    <row r="8">
      <c r="A8" s="14" t="inlineStr">
        <is>
          <t xml:space="preserve">    Food, beverage and packaging</t>
        </is>
      </c>
      <c r="B8" s="7" t="inlineStr">
        <is>
          <t>$mm</t>
        </is>
      </c>
      <c r="C8" s="26" t="n">
        <v>2308.631</v>
      </c>
      <c r="D8" s="26" t="n">
        <v>2602.245</v>
      </c>
      <c r="E8" s="26" t="n">
        <v>2912.564</v>
      </c>
      <c r="F8" s="26" t="n">
        <v>3374.516</v>
      </c>
      <c r="G8" s="26" t="n">
        <v>3526.992</v>
      </c>
      <c r="I8" s="10" t="inlineStr">
        <is>
          <t>FY2025 10-K Consolidated Statements of Income (FY23-25); FY2023 10-K (FY21-22)</t>
        </is>
      </c>
    </row>
    <row r="9">
      <c r="A9" s="14" t="inlineStr">
        <is>
          <t xml:space="preserve">    Labor</t>
        </is>
      </c>
      <c r="B9" s="7" t="inlineStr">
        <is>
          <t>$mm</t>
        </is>
      </c>
      <c r="C9" s="26" t="n">
        <v>1917.761</v>
      </c>
      <c r="D9" s="26" t="n">
        <v>2197.958</v>
      </c>
      <c r="E9" s="26" t="n">
        <v>2440.982</v>
      </c>
      <c r="F9" s="26" t="n">
        <v>2789.789</v>
      </c>
      <c r="G9" s="26" t="n">
        <v>2991.68</v>
      </c>
      <c r="I9" s="10" t="inlineStr">
        <is>
          <t>FY2025 10-K Consolidated Statements of Income (FY23-25); FY2023 10-K (FY21-22)</t>
        </is>
      </c>
    </row>
    <row r="10">
      <c r="A10" s="14" t="inlineStr">
        <is>
          <t xml:space="preserve">    Occupancy</t>
        </is>
      </c>
      <c r="B10" s="7" t="inlineStr">
        <is>
          <t>$mm</t>
        </is>
      </c>
      <c r="C10" s="26" t="n">
        <v>416.606</v>
      </c>
      <c r="D10" s="26" t="n">
        <v>460.425</v>
      </c>
      <c r="E10" s="26" t="n">
        <v>503.264</v>
      </c>
      <c r="F10" s="26" t="n">
        <v>563.374</v>
      </c>
      <c r="G10" s="26" t="n">
        <v>624.898</v>
      </c>
      <c r="I10" s="10" t="inlineStr">
        <is>
          <t>FY2025 10-K Consolidated Statements of Income (FY23-25); FY2023 10-K (FY21-22)</t>
        </is>
      </c>
    </row>
    <row r="11">
      <c r="A11" s="14" t="inlineStr">
        <is>
          <t xml:space="preserve">    Other operating costs</t>
        </is>
      </c>
      <c r="B11" s="7" t="inlineStr">
        <is>
          <t>$mm</t>
        </is>
      </c>
      <c r="C11" s="26" t="n">
        <v>1197.054</v>
      </c>
      <c r="D11" s="26" t="n">
        <v>1311.905</v>
      </c>
      <c r="E11" s="26" t="n">
        <v>1428.747</v>
      </c>
      <c r="F11" s="26" t="n">
        <v>1568.482</v>
      </c>
      <c r="G11" s="26" t="n">
        <v>1755.824</v>
      </c>
      <c r="I11" s="10" t="inlineStr">
        <is>
          <t>FY2025 10-K Consolidated Statements of Income (FY23-25); FY2023 10-K (FY21-22)</t>
        </is>
      </c>
    </row>
    <row r="12">
      <c r="A12" s="14" t="inlineStr">
        <is>
          <t>Total restaurant operating costs</t>
        </is>
      </c>
      <c r="B12" s="7" t="inlineStr">
        <is>
          <t>$mm</t>
        </is>
      </c>
      <c r="C12" s="27">
        <f>C8+C9+C10+C11</f>
        <v/>
      </c>
      <c r="D12" s="27">
        <f>D8+D9+D10+D11</f>
        <v/>
      </c>
      <c r="E12" s="27">
        <f>E8+E9+E10+E11</f>
        <v/>
      </c>
      <c r="F12" s="27">
        <f>F8+F9+F10+F11</f>
        <v/>
      </c>
      <c r="G12" s="27">
        <f>G8+G9+G10+G11</f>
        <v/>
      </c>
      <c r="I12" s="10" t="inlineStr">
        <is>
          <t>Sum of the four restaurant operating cost lines above.</t>
        </is>
      </c>
    </row>
    <row r="13">
      <c r="A13" s="14" t="inlineStr">
        <is>
          <t>General and administrative expenses</t>
        </is>
      </c>
      <c r="B13" s="7" t="inlineStr">
        <is>
          <t>$mm</t>
        </is>
      </c>
      <c r="C13" s="26" t="n">
        <v>606.854</v>
      </c>
      <c r="D13" s="26" t="n">
        <v>564.191</v>
      </c>
      <c r="E13" s="26" t="n">
        <v>633.5839999999999</v>
      </c>
      <c r="F13" s="26" t="n">
        <v>697.4829999999999</v>
      </c>
      <c r="G13" s="26" t="n">
        <v>652.0170000000001</v>
      </c>
      <c r="I13" s="10" t="inlineStr">
        <is>
          <t>FY2025 10-K Consolidated Statements of Income (FY23-25); FY2023 10-K (FY21-22)</t>
        </is>
      </c>
    </row>
    <row r="14">
      <c r="A14" s="14" t="inlineStr">
        <is>
          <t>Depreciation and amortization</t>
        </is>
      </c>
      <c r="B14" s="7" t="inlineStr">
        <is>
          <t>$mm</t>
        </is>
      </c>
      <c r="C14" s="26" t="n">
        <v>254.657</v>
      </c>
      <c r="D14" s="26" t="n">
        <v>286.826</v>
      </c>
      <c r="E14" s="26" t="n">
        <v>319.394</v>
      </c>
      <c r="F14" s="26" t="n">
        <v>335.03</v>
      </c>
      <c r="G14" s="26" t="n">
        <v>361.382</v>
      </c>
      <c r="I14" s="10" t="inlineStr">
        <is>
          <t>FY2025 10-K Consolidated Statements of Income and Statements of Cash Flows (FY23-25); FY2023 10-K (FY21-22)</t>
        </is>
      </c>
    </row>
    <row r="15">
      <c r="A15" s="14" t="inlineStr">
        <is>
          <t>Pre-opening costs</t>
        </is>
      </c>
      <c r="B15" s="7" t="inlineStr">
        <is>
          <t>$mm</t>
        </is>
      </c>
      <c r="C15" s="26" t="n">
        <v>21.264</v>
      </c>
      <c r="D15" s="26" t="n">
        <v>29.56</v>
      </c>
      <c r="E15" s="26" t="n">
        <v>36.931</v>
      </c>
      <c r="F15" s="26" t="n">
        <v>41.897</v>
      </c>
      <c r="G15" s="26" t="n">
        <v>49.507</v>
      </c>
      <c r="I15" s="10" t="inlineStr">
        <is>
          <t>FY2025 10-K Consolidated Statements of Income (FY23-25); FY2023 10-K (FY21-22)</t>
        </is>
      </c>
    </row>
    <row r="16">
      <c r="A16" s="14" t="inlineStr">
        <is>
          <t>Impairment, closure costs, and asset disposals</t>
        </is>
      </c>
      <c r="B16" s="7" t="inlineStr">
        <is>
          <t>$mm</t>
        </is>
      </c>
      <c r="C16" s="26" t="n">
        <v>19.291</v>
      </c>
      <c r="D16" s="26" t="n">
        <v>21.139</v>
      </c>
      <c r="E16" s="26" t="n">
        <v>38.37</v>
      </c>
      <c r="F16" s="26" t="n">
        <v>26.949</v>
      </c>
      <c r="G16" s="26" t="n">
        <v>27.503</v>
      </c>
      <c r="I16" s="10" t="inlineStr">
        <is>
          <t>FY2025 10-K Consolidated Statements of Income (FY23-25); FY2023 10-K (FY21-22)</t>
        </is>
      </c>
    </row>
    <row r="17">
      <c r="A17" s="14" t="inlineStr">
        <is>
          <t>Total operating expenses</t>
        </is>
      </c>
      <c r="B17" s="7" t="inlineStr">
        <is>
          <t>$mm</t>
        </is>
      </c>
      <c r="C17" s="27">
        <f>C12+C13+C14+C15+C16</f>
        <v/>
      </c>
      <c r="D17" s="27">
        <f>D12+D13+D14+D15+D16</f>
        <v/>
      </c>
      <c r="E17" s="27">
        <f>E12+E13+E14+E15+E16</f>
        <v/>
      </c>
      <c r="F17" s="27">
        <f>F12+F13+F14+F15+F16</f>
        <v/>
      </c>
      <c r="G17" s="27">
        <f>G12+G13+G14+G15+G16</f>
        <v/>
      </c>
      <c r="I17" s="10" t="inlineStr">
        <is>
          <t>Total restaurant operating costs + G&amp;A + D&amp;A + pre-opening + impairment.</t>
        </is>
      </c>
    </row>
    <row r="18">
      <c r="A18" s="6" t="inlineStr">
        <is>
          <t>Operating income (EBIT)</t>
        </is>
      </c>
      <c r="B18" s="7" t="inlineStr">
        <is>
          <t>$mm</t>
        </is>
      </c>
      <c r="C18" s="28">
        <f>C6-C17</f>
        <v/>
      </c>
      <c r="D18" s="28">
        <f>D6-D17</f>
        <v/>
      </c>
      <c r="E18" s="28">
        <f>E6-E17</f>
        <v/>
      </c>
      <c r="F18" s="28">
        <f>F6-F17</f>
        <v/>
      </c>
      <c r="G18" s="28">
        <f>G6-G17</f>
        <v/>
      </c>
      <c r="I18" s="10" t="inlineStr">
        <is>
          <t>Total revenue less total operating expenses.</t>
        </is>
      </c>
    </row>
    <row r="19">
      <c r="A19" s="29" t="inlineStr">
        <is>
          <t>Memo: EBIT as reported in the 10-K</t>
        </is>
      </c>
      <c r="B19" s="7" t="inlineStr">
        <is>
          <t>$mm</t>
        </is>
      </c>
      <c r="C19" s="30" t="n">
        <v>804.943</v>
      </c>
      <c r="D19" s="30" t="n">
        <v>1160.403</v>
      </c>
      <c r="E19" s="30" t="n">
        <v>1557.813</v>
      </c>
      <c r="F19" s="30" t="n">
        <v>1916.333</v>
      </c>
      <c r="G19" s="30" t="n">
        <v>1935.798</v>
      </c>
      <c r="I19" s="10" t="inlineStr">
        <is>
          <t>SEC XBRL companyfacts us-gaap:OperatingIncomeLoss, retrieved 2026-09-06; agrees to 10-K income statements</t>
        </is>
      </c>
    </row>
    <row r="20">
      <c r="A20" s="29" t="inlineStr">
        <is>
          <t>Check: build vs. reported (must be 0.0)</t>
        </is>
      </c>
      <c r="B20" s="7" t="inlineStr">
        <is>
          <t>$mm</t>
        </is>
      </c>
      <c r="C20" s="31">
        <f>C18-C19</f>
        <v/>
      </c>
      <c r="D20" s="31">
        <f>D18-D19</f>
        <v/>
      </c>
      <c r="E20" s="31">
        <f>E18-E19</f>
        <v/>
      </c>
      <c r="F20" s="31">
        <f>F18-F19</f>
        <v/>
      </c>
      <c r="G20" s="31">
        <f>G18-G19</f>
        <v/>
      </c>
      <c r="I20" s="10" t="inlineStr">
        <is>
          <t>Tie-out. Any non-zero value means a cost line was mistyped.</t>
        </is>
      </c>
    </row>
    <row r="21">
      <c r="A21" s="6" t="inlineStr">
        <is>
          <t>EBITDA (EBIT + D&amp;A)</t>
        </is>
      </c>
      <c r="B21" s="7" t="inlineStr">
        <is>
          <t>$mm</t>
        </is>
      </c>
      <c r="C21" s="32">
        <f>C18+C14</f>
        <v/>
      </c>
      <c r="D21" s="32">
        <f>D18+D14</f>
        <v/>
      </c>
      <c r="E21" s="32">
        <f>E18+E14</f>
        <v/>
      </c>
      <c r="F21" s="32">
        <f>F18+F14</f>
        <v/>
      </c>
      <c r="G21" s="32">
        <f>G18+G14</f>
        <v/>
      </c>
      <c r="I21" s="10" t="inlineStr">
        <is>
          <t>Chipotle reports D&amp;A as a separate line, so EBITDA = EBIT + D&amp;A.</t>
        </is>
      </c>
    </row>
    <row r="22">
      <c r="A22" s="14" t="inlineStr">
        <is>
          <t>Income before income taxes</t>
        </is>
      </c>
      <c r="B22" s="7" t="inlineStr">
        <is>
          <t>$mm</t>
        </is>
      </c>
      <c r="C22" s="26" t="n">
        <v>812.763</v>
      </c>
      <c r="D22" s="26" t="n">
        <v>1181.531</v>
      </c>
      <c r="E22" s="26" t="n">
        <v>1620.506</v>
      </c>
      <c r="F22" s="26" t="n">
        <v>2010.23</v>
      </c>
      <c r="G22" s="26" t="n">
        <v>2009.519</v>
      </c>
      <c r="I22" s="10" t="inlineStr">
        <is>
          <t>SEC XBRL companyfacts us-gaap:IncomeLossFromContinuingOperationsBeforeIncomeTaxes..., retrieved 2026-09-06</t>
        </is>
      </c>
    </row>
    <row r="23">
      <c r="A23" s="14" t="inlineStr">
        <is>
          <t>Provision for income taxes</t>
        </is>
      </c>
      <c r="B23" s="7" t="inlineStr">
        <is>
          <t>$mm</t>
        </is>
      </c>
      <c r="C23" s="26" t="n">
        <v>159.779</v>
      </c>
      <c r="D23" s="26" t="n">
        <v>282.43</v>
      </c>
      <c r="E23" s="26" t="n">
        <v>391.769</v>
      </c>
      <c r="F23" s="26" t="n">
        <v>476.12</v>
      </c>
      <c r="G23" s="26" t="n">
        <v>473.758</v>
      </c>
      <c r="I23" s="10" t="inlineStr">
        <is>
          <t>SEC XBRL companyfacts us-gaap:IncomeTaxExpenseBenefit, retrieved 2026-09-06</t>
        </is>
      </c>
    </row>
    <row r="24">
      <c r="A24" s="14" t="inlineStr">
        <is>
          <t>Effective income tax rate (as reported)</t>
        </is>
      </c>
      <c r="B24" s="7" t="inlineStr">
        <is>
          <t>%</t>
        </is>
      </c>
      <c r="C24" s="33" t="n">
        <v>0.197</v>
      </c>
      <c r="D24" s="33" t="n">
        <v>0.239</v>
      </c>
      <c r="E24" s="33" t="n">
        <v>0.242</v>
      </c>
      <c r="F24" s="33" t="n">
        <v>0.237</v>
      </c>
      <c r="G24" s="33" t="n">
        <v>0.236</v>
      </c>
      <c r="I24" s="10" t="inlineStr">
        <is>
          <t>FY2025 10-K Note 8 Income Taxes rate reconciliation (FY24-25); SEC XBRL us-gaap:EffectiveIncomeTaxRateContinuingOperations (FY21-23), retrieved 2026-09-06</t>
        </is>
      </c>
    </row>
    <row r="25">
      <c r="A25" s="29" t="inlineStr">
        <is>
          <t>Effective tax rate (check: provision / pre-tax income)</t>
        </is>
      </c>
      <c r="B25" s="7" t="inlineStr">
        <is>
          <t>%</t>
        </is>
      </c>
      <c r="C25" s="34">
        <f>C23/C22</f>
        <v/>
      </c>
      <c r="D25" s="34">
        <f>D23/D22</f>
        <v/>
      </c>
      <c r="E25" s="34">
        <f>E23/E22</f>
        <v/>
      </c>
      <c r="F25" s="34">
        <f>F23/F22</f>
        <v/>
      </c>
      <c r="G25" s="34">
        <f>G23/G22</f>
        <v/>
      </c>
      <c r="I25" s="10" t="inlineStr">
        <is>
          <t>Recomputed from the two lines above.</t>
        </is>
      </c>
    </row>
    <row r="27">
      <c r="A27" s="4" t="inlineStr">
        <is>
          <t>COMMON-SIZE: EVERY COST LINE AS A % OF REVENUE (this is what anchors the forecast)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14" t="inlineStr">
        <is>
          <t xml:space="preserve">    Food, beverage and packaging</t>
        </is>
      </c>
      <c r="B28" s="7" t="inlineStr">
        <is>
          <t>% rev</t>
        </is>
      </c>
      <c r="C28" s="35">
        <f>C8/C6</f>
        <v/>
      </c>
      <c r="D28" s="35">
        <f>D8/D6</f>
        <v/>
      </c>
      <c r="E28" s="35">
        <f>E8/E6</f>
        <v/>
      </c>
      <c r="F28" s="35">
        <f>F8/F6</f>
        <v/>
      </c>
      <c r="G28" s="35">
        <f>G8/G6</f>
        <v/>
      </c>
    </row>
    <row r="29">
      <c r="A29" s="14" t="inlineStr">
        <is>
          <t xml:space="preserve">    Labor</t>
        </is>
      </c>
      <c r="B29" s="7" t="inlineStr">
        <is>
          <t>% rev</t>
        </is>
      </c>
      <c r="C29" s="35">
        <f>C9/C6</f>
        <v/>
      </c>
      <c r="D29" s="35">
        <f>D9/D6</f>
        <v/>
      </c>
      <c r="E29" s="35">
        <f>E9/E6</f>
        <v/>
      </c>
      <c r="F29" s="35">
        <f>F9/F6</f>
        <v/>
      </c>
      <c r="G29" s="35">
        <f>G9/G6</f>
        <v/>
      </c>
    </row>
    <row r="30">
      <c r="A30" s="14" t="inlineStr">
        <is>
          <t xml:space="preserve">    Occupancy</t>
        </is>
      </c>
      <c r="B30" s="7" t="inlineStr">
        <is>
          <t>% rev</t>
        </is>
      </c>
      <c r="C30" s="35">
        <f>C10/C6</f>
        <v/>
      </c>
      <c r="D30" s="35">
        <f>D10/D6</f>
        <v/>
      </c>
      <c r="E30" s="35">
        <f>E10/E6</f>
        <v/>
      </c>
      <c r="F30" s="35">
        <f>F10/F6</f>
        <v/>
      </c>
      <c r="G30" s="35">
        <f>G10/G6</f>
        <v/>
      </c>
    </row>
    <row r="31">
      <c r="A31" s="14" t="inlineStr">
        <is>
          <t xml:space="preserve">    Other operating costs</t>
        </is>
      </c>
      <c r="B31" s="7" t="inlineStr">
        <is>
          <t>% rev</t>
        </is>
      </c>
      <c r="C31" s="35">
        <f>C11/C6</f>
        <v/>
      </c>
      <c r="D31" s="35">
        <f>D11/D6</f>
        <v/>
      </c>
      <c r="E31" s="35">
        <f>E11/E6</f>
        <v/>
      </c>
      <c r="F31" s="35">
        <f>F11/F6</f>
        <v/>
      </c>
      <c r="G31" s="35">
        <f>G11/G6</f>
        <v/>
      </c>
    </row>
    <row r="32">
      <c r="A32" s="6" t="inlineStr">
        <is>
          <t xml:space="preserve">    Total restaurant operating costs</t>
        </is>
      </c>
      <c r="B32" s="7" t="inlineStr">
        <is>
          <t>% rev</t>
        </is>
      </c>
      <c r="C32" s="36">
        <f>C12/C6</f>
        <v/>
      </c>
      <c r="D32" s="36">
        <f>D12/D6</f>
        <v/>
      </c>
      <c r="E32" s="36">
        <f>E12/E6</f>
        <v/>
      </c>
      <c r="F32" s="36">
        <f>F12/F6</f>
        <v/>
      </c>
      <c r="G32" s="36">
        <f>G12/G6</f>
        <v/>
      </c>
    </row>
    <row r="33">
      <c r="A33" s="14" t="inlineStr">
        <is>
          <t xml:space="preserve">    General and administrative</t>
        </is>
      </c>
      <c r="B33" s="7" t="inlineStr">
        <is>
          <t>% rev</t>
        </is>
      </c>
      <c r="C33" s="35">
        <f>C13/C6</f>
        <v/>
      </c>
      <c r="D33" s="35">
        <f>D13/D6</f>
        <v/>
      </c>
      <c r="E33" s="35">
        <f>E13/E6</f>
        <v/>
      </c>
      <c r="F33" s="35">
        <f>F13/F6</f>
        <v/>
      </c>
      <c r="G33" s="35">
        <f>G13/G6</f>
        <v/>
      </c>
    </row>
    <row r="34">
      <c r="A34" s="14" t="inlineStr">
        <is>
          <t xml:space="preserve">    Depreciation and amortization</t>
        </is>
      </c>
      <c r="B34" s="7" t="inlineStr">
        <is>
          <t>% rev</t>
        </is>
      </c>
      <c r="C34" s="35">
        <f>C14/C6</f>
        <v/>
      </c>
      <c r="D34" s="35">
        <f>D14/D6</f>
        <v/>
      </c>
      <c r="E34" s="35">
        <f>E14/E6</f>
        <v/>
      </c>
      <c r="F34" s="35">
        <f>F14/F6</f>
        <v/>
      </c>
      <c r="G34" s="35">
        <f>G14/G6</f>
        <v/>
      </c>
    </row>
    <row r="35">
      <c r="A35" s="14" t="inlineStr">
        <is>
          <t xml:space="preserve">    Pre-opening costs</t>
        </is>
      </c>
      <c r="B35" s="7" t="inlineStr">
        <is>
          <t>% rev</t>
        </is>
      </c>
      <c r="C35" s="35">
        <f>C15/C6</f>
        <v/>
      </c>
      <c r="D35" s="35">
        <f>D15/D6</f>
        <v/>
      </c>
      <c r="E35" s="35">
        <f>E15/E6</f>
        <v/>
      </c>
      <c r="F35" s="35">
        <f>F15/F6</f>
        <v/>
      </c>
      <c r="G35" s="35">
        <f>G15/G6</f>
        <v/>
      </c>
    </row>
    <row r="36">
      <c r="A36" s="14" t="inlineStr">
        <is>
          <t xml:space="preserve">    Impairment and closures</t>
        </is>
      </c>
      <c r="B36" s="7" t="inlineStr">
        <is>
          <t>% rev</t>
        </is>
      </c>
      <c r="C36" s="35">
        <f>C16/C6</f>
        <v/>
      </c>
      <c r="D36" s="35">
        <f>D16/D6</f>
        <v/>
      </c>
      <c r="E36" s="35">
        <f>E16/E6</f>
        <v/>
      </c>
      <c r="F36" s="35">
        <f>F16/F6</f>
        <v/>
      </c>
      <c r="G36" s="35">
        <f>G16/G6</f>
        <v/>
      </c>
    </row>
    <row r="37">
      <c r="A37" s="6" t="inlineStr">
        <is>
          <t>EBIT margin</t>
        </is>
      </c>
      <c r="B37" s="7" t="inlineStr">
        <is>
          <t>% rev</t>
        </is>
      </c>
      <c r="C37" s="37">
        <f>C18/C6</f>
        <v/>
      </c>
      <c r="D37" s="37">
        <f>D18/D6</f>
        <v/>
      </c>
      <c r="E37" s="37">
        <f>E18/E6</f>
        <v/>
      </c>
      <c r="F37" s="37">
        <f>F18/F6</f>
        <v/>
      </c>
      <c r="G37" s="37">
        <f>G18/G6</f>
        <v/>
      </c>
      <c r="I37" s="10" t="inlineStr">
        <is>
          <t>The single most important historical series in the model - the Assumptions tab EBIT margin path is set against it.</t>
        </is>
      </c>
    </row>
    <row r="38">
      <c r="A38" s="6" t="inlineStr">
        <is>
          <t>EBITDA margin</t>
        </is>
      </c>
      <c r="B38" s="7" t="inlineStr">
        <is>
          <t>% rev</t>
        </is>
      </c>
      <c r="C38" s="36">
        <f>C21/C6</f>
        <v/>
      </c>
      <c r="D38" s="36">
        <f>D21/D6</f>
        <v/>
      </c>
      <c r="E38" s="36">
        <f>E21/E6</f>
        <v/>
      </c>
      <c r="F38" s="36">
        <f>F21/F6</f>
        <v/>
      </c>
      <c r="G38" s="36">
        <f>G21/G6</f>
        <v/>
      </c>
    </row>
    <row r="39">
      <c r="A39" s="14" t="inlineStr">
        <is>
          <t>Revenue growth (YoY)</t>
        </is>
      </c>
      <c r="B39" s="7" t="inlineStr">
        <is>
          <t>%</t>
        </is>
      </c>
      <c r="D39" s="35">
        <f>D6/C6-1</f>
        <v/>
      </c>
      <c r="E39" s="35">
        <f>E6/D6-1</f>
        <v/>
      </c>
      <c r="F39" s="35">
        <f>F6/E6-1</f>
        <v/>
      </c>
      <c r="G39" s="35">
        <f>G6/F6-1</f>
        <v/>
      </c>
    </row>
    <row r="41">
      <c r="A41" s="4" t="inlineStr">
        <is>
          <t>CASH FLOW ITEMS ($ in millions, from the consolidated statements of cash flows)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14" t="inlineStr">
        <is>
          <t>Net cash provided by operating activities</t>
        </is>
      </c>
      <c r="B42" s="7" t="inlineStr">
        <is>
          <t>$mm</t>
        </is>
      </c>
      <c r="C42" s="26" t="n">
        <v>1282.113</v>
      </c>
      <c r="D42" s="26" t="n">
        <v>1323.179</v>
      </c>
      <c r="E42" s="26" t="n">
        <v>1783.477</v>
      </c>
      <c r="F42" s="26" t="n">
        <v>2105.076</v>
      </c>
      <c r="G42" s="26" t="n">
        <v>2113.926</v>
      </c>
      <c r="I42" s="10" t="inlineStr">
        <is>
          <t>FY2025 10-K Consolidated Statements of Cash Flows (FY23-25); FY2023 10-K (FY21-22)</t>
        </is>
      </c>
    </row>
    <row r="43">
      <c r="A43" s="14" t="inlineStr">
        <is>
          <t>Capital expenditures (leasehold improvements, PP&amp;E)</t>
        </is>
      </c>
      <c r="B43" s="7" t="inlineStr">
        <is>
          <t>$mm</t>
        </is>
      </c>
      <c r="C43" s="26" t="n">
        <v>442.475</v>
      </c>
      <c r="D43" s="26" t="n">
        <v>479.164</v>
      </c>
      <c r="E43" s="26" t="n">
        <v>560.731</v>
      </c>
      <c r="F43" s="26" t="n">
        <v>593.603</v>
      </c>
      <c r="G43" s="26" t="n">
        <v>666.336</v>
      </c>
      <c r="I43" s="10" t="inlineStr">
        <is>
          <t>FY2025 10-K Consolidated Statements of Cash Flows, investing activities (FY23-25); FY2023 10-K (FY21-22)</t>
        </is>
      </c>
    </row>
    <row r="44">
      <c r="A44" s="14" t="inlineStr">
        <is>
          <t xml:space="preserve">    CapEx as % of revenue</t>
        </is>
      </c>
      <c r="B44" s="7" t="inlineStr">
        <is>
          <t>% rev</t>
        </is>
      </c>
      <c r="C44" s="35">
        <f>C43/C6</f>
        <v/>
      </c>
      <c r="D44" s="35">
        <f>D43/D6</f>
        <v/>
      </c>
      <c r="E44" s="35">
        <f>E43/E6</f>
        <v/>
      </c>
      <c r="F44" s="35">
        <f>F43/F6</f>
        <v/>
      </c>
      <c r="G44" s="35">
        <f>G43/G6</f>
        <v/>
      </c>
    </row>
    <row r="45">
      <c r="A45" s="14" t="inlineStr">
        <is>
          <t xml:space="preserve">    CapEx / D&amp;A</t>
        </is>
      </c>
      <c r="B45" s="7" t="inlineStr">
        <is>
          <t>x</t>
        </is>
      </c>
      <c r="C45" s="38">
        <f>C43/C14</f>
        <v/>
      </c>
      <c r="D45" s="38">
        <f>D43/D14</f>
        <v/>
      </c>
      <c r="E45" s="38">
        <f>E43/E14</f>
        <v/>
      </c>
      <c r="F45" s="38">
        <f>F43/F14</f>
        <v/>
      </c>
      <c r="G45" s="38">
        <f>G43/G14</f>
        <v/>
      </c>
      <c r="I45" s="10" t="inlineStr">
        <is>
          <t>Comfortably above 1.0x - Chipotle is still in build-out mode. This ratio is why the terminal year needs a normalised capex figure.</t>
        </is>
      </c>
    </row>
    <row r="47">
      <c r="A47" s="20" t="inlineStr">
        <is>
          <t>Working capital: cash-flow-statement presentation (positive = source of cash).</t>
        </is>
      </c>
    </row>
    <row r="48">
      <c r="A48" s="14" t="inlineStr">
        <is>
          <t xml:space="preserve">    Accounts receivable</t>
        </is>
      </c>
      <c r="B48" s="7" t="inlineStr">
        <is>
          <t>$mm</t>
        </is>
      </c>
      <c r="C48" s="26" t="n">
        <v>-1.687</v>
      </c>
      <c r="D48" s="26" t="n">
        <v>-14.026</v>
      </c>
      <c r="E48" s="26" t="n">
        <v>-11.216</v>
      </c>
      <c r="F48" s="26" t="n">
        <v>-29.274</v>
      </c>
      <c r="G48" s="26" t="n">
        <v>-11.383</v>
      </c>
      <c r="I48" s="10" t="inlineStr">
        <is>
          <t>FY2025 10-K Statements of Cash Flows, changes in operating assets and liabilities (FY23-25); FY2023 10-K (FY21-22). Sign = cash impact as presented.</t>
        </is>
      </c>
    </row>
    <row r="49">
      <c r="A49" s="14" t="inlineStr">
        <is>
          <t xml:space="preserve">    Inventory</t>
        </is>
      </c>
      <c r="B49" s="7" t="inlineStr">
        <is>
          <t>$mm</t>
        </is>
      </c>
      <c r="C49" s="26" t="n">
        <v>-6.392</v>
      </c>
      <c r="D49" s="26" t="n">
        <v>-3.011</v>
      </c>
      <c r="E49" s="26" t="n">
        <v>-3.649</v>
      </c>
      <c r="F49" s="26" t="n">
        <v>-9.797000000000001</v>
      </c>
      <c r="G49" s="26" t="n">
        <v>-0.71</v>
      </c>
      <c r="I49" s="10" t="inlineStr">
        <is>
          <t>FY2025 10-K Statements of Cash Flows (FY23-25); FY2023 10-K (FY21-22). Sign = cash impact as presented.</t>
        </is>
      </c>
    </row>
    <row r="50">
      <c r="A50" s="14" t="inlineStr">
        <is>
          <t xml:space="preserve">    Prepaid expenses and other current assets</t>
        </is>
      </c>
      <c r="B50" s="7" t="inlineStr">
        <is>
          <t>$mm</t>
        </is>
      </c>
      <c r="C50" s="26" t="n">
        <v>-26.826</v>
      </c>
      <c r="D50" s="26" t="n">
        <v>-14.66</v>
      </c>
      <c r="E50" s="26" t="n">
        <v>-39.211</v>
      </c>
      <c r="F50" s="26" t="n">
        <v>9.244</v>
      </c>
      <c r="G50" s="26" t="n">
        <v>-33.042</v>
      </c>
      <c r="I50" s="10" t="inlineStr">
        <is>
          <t>FY2025 10-K Statements of Cash Flows (FY23-25); FY2023 10-K (FY21-22). Sign = cash impact as presented.</t>
        </is>
      </c>
    </row>
    <row r="51">
      <c r="A51" s="14" t="inlineStr">
        <is>
          <t xml:space="preserve">    Other assets</t>
        </is>
      </c>
      <c r="B51" s="7" t="inlineStr">
        <is>
          <t>$mm</t>
        </is>
      </c>
      <c r="C51" s="26" t="n">
        <v>3.993</v>
      </c>
      <c r="D51" s="26" t="n">
        <v>-0.346</v>
      </c>
      <c r="E51" s="26" t="n">
        <v>4.204</v>
      </c>
      <c r="F51" s="26" t="n">
        <v>-17.69</v>
      </c>
      <c r="G51" s="26" t="n">
        <v>-5.155</v>
      </c>
      <c r="I51" s="10" t="inlineStr">
        <is>
          <t>FY2025 10-K Statements of Cash Flows (FY23-25); FY2023 10-K (FY21-22). Sign = cash impact as presented.</t>
        </is>
      </c>
    </row>
    <row r="52">
      <c r="A52" s="14" t="inlineStr">
        <is>
          <t xml:space="preserve">    Accounts payable</t>
        </is>
      </c>
      <c r="B52" s="7" t="inlineStr">
        <is>
          <t>$mm</t>
        </is>
      </c>
      <c r="C52" s="26" t="n">
        <v>21.44</v>
      </c>
      <c r="D52" s="26" t="n">
        <v>18.208</v>
      </c>
      <c r="E52" s="26" t="n">
        <v>5.313</v>
      </c>
      <c r="F52" s="26" t="n">
        <v>8.467000000000001</v>
      </c>
      <c r="G52" s="26" t="n">
        <v>-7.449</v>
      </c>
      <c r="I52" s="10" t="inlineStr">
        <is>
          <t>FY2025 10-K Statements of Cash Flows (FY23-25); FY2023 10-K (FY21-22). Sign = cash impact as presented.</t>
        </is>
      </c>
    </row>
    <row r="53">
      <c r="A53" s="14" t="inlineStr">
        <is>
          <t xml:space="preserve">    Accrued payroll and benefits</t>
        </is>
      </c>
      <c r="B53" s="7" t="inlineStr">
        <is>
          <t>$mm</t>
        </is>
      </c>
      <c r="C53" s="26" t="n">
        <v>-44.555</v>
      </c>
      <c r="D53" s="26" t="n">
        <v>9.864000000000001</v>
      </c>
      <c r="E53" s="26" t="n">
        <v>57.048</v>
      </c>
      <c r="F53" s="26" t="n">
        <v>34.857</v>
      </c>
      <c r="G53" s="26" t="n">
        <v>-12.113</v>
      </c>
      <c r="I53" s="10" t="inlineStr">
        <is>
          <t>FY2025 10-K Statements of Cash Flows (FY23-25); FY2023 10-K (FY21-22). Sign = cash impact as presented.</t>
        </is>
      </c>
    </row>
    <row r="54">
      <c r="A54" s="14" t="inlineStr">
        <is>
          <t xml:space="preserve">    Accrued liabilities</t>
        </is>
      </c>
      <c r="B54" s="7" t="inlineStr">
        <is>
          <t>$mm</t>
        </is>
      </c>
      <c r="C54" s="26" t="n">
        <v>10.997</v>
      </c>
      <c r="D54" s="26" t="n">
        <v>-27.964</v>
      </c>
      <c r="E54" s="26" t="n">
        <v>3.188</v>
      </c>
      <c r="F54" s="26" t="n">
        <v>27.284</v>
      </c>
      <c r="G54" s="26" t="n">
        <v>-10.499</v>
      </c>
      <c r="I54" s="10" t="inlineStr">
        <is>
          <t>FY2025 10-K Statements of Cash Flows (FY23-25); FY2023 10-K (FY21-22). Sign = cash impact as presented.</t>
        </is>
      </c>
    </row>
    <row r="55">
      <c r="A55" s="14" t="inlineStr">
        <is>
          <t xml:space="preserve">    Unearned revenue</t>
        </is>
      </c>
      <c r="B55" s="7" t="inlineStr">
        <is>
          <t>$mm</t>
        </is>
      </c>
      <c r="C55" s="26" t="n">
        <v>34.387</v>
      </c>
      <c r="D55" s="26" t="n">
        <v>33.374</v>
      </c>
      <c r="E55" s="26" t="n">
        <v>35.685</v>
      </c>
      <c r="F55" s="26" t="n">
        <v>46.139</v>
      </c>
      <c r="G55" s="26" t="n">
        <v>40.71</v>
      </c>
      <c r="I55" s="10" t="inlineStr">
        <is>
          <t>FY2025 10-K Statements of Cash Flows (FY23-25); FY2023 10-K (FY21-22). Sign = cash impact as presented.</t>
        </is>
      </c>
    </row>
    <row r="56">
      <c r="A56" s="14" t="inlineStr">
        <is>
          <t xml:space="preserve">    Other long-term liabilities</t>
        </is>
      </c>
      <c r="B56" s="7" t="inlineStr">
        <is>
          <t>$mm</t>
        </is>
      </c>
      <c r="C56" s="26" t="n">
        <v>-3.984</v>
      </c>
      <c r="D56" s="26" t="n">
        <v>3.853</v>
      </c>
      <c r="E56" s="26" t="n">
        <v>9.430999999999999</v>
      </c>
      <c r="F56" s="26" t="n">
        <v>3.258</v>
      </c>
      <c r="G56" s="26" t="n">
        <v>-4.192</v>
      </c>
      <c r="I56" s="10" t="inlineStr">
        <is>
          <t>FY2025 10-K Statements of Cash Flows (FY23-25); FY2023 10-K (FY21-22). Sign = cash impact as presented.</t>
        </is>
      </c>
    </row>
    <row r="57">
      <c r="A57" s="6" t="inlineStr">
        <is>
          <t>Change in net working capital (+ = cash source)</t>
        </is>
      </c>
      <c r="B57" s="7" t="inlineStr">
        <is>
          <t>$mm</t>
        </is>
      </c>
      <c r="C57" s="28">
        <f>C48+C49+C50+C51+C52+C53+C54+C55+C56</f>
        <v/>
      </c>
      <c r="D57" s="28">
        <f>D48+D49+D50+D51+D52+D53+D54+D55+D56</f>
        <v/>
      </c>
      <c r="E57" s="28">
        <f>E48+E49+E50+E51+E52+E53+E54+E55+E56</f>
        <v/>
      </c>
      <c r="F57" s="28">
        <f>F48+F49+F50+F51+F52+F53+F54+F55+F56</f>
        <v/>
      </c>
      <c r="G57" s="28">
        <f>G48+G49+G50+G51+G52+G53+G54+G55+G56</f>
        <v/>
      </c>
      <c r="I57" s="10" t="inlineStr">
        <is>
          <t>Sum of the nine lines above. Income taxes payable and the operating lease asset/liability lines are deliberately EXCLUDED - taxes are modelled inside NOPAT, and leases are treated as an operating expense.</t>
        </is>
      </c>
    </row>
    <row r="58">
      <c r="A58" s="29" t="inlineStr">
        <is>
          <t xml:space="preserve">    Income tax payable/receivable (excluded from NWC)</t>
        </is>
      </c>
      <c r="B58" s="7" t="inlineStr">
        <is>
          <t>$mm</t>
        </is>
      </c>
      <c r="C58" s="30" t="n">
        <v>193.379</v>
      </c>
      <c r="D58" s="30" t="n">
        <v>46.262</v>
      </c>
      <c r="E58" s="30" t="n">
        <v>-5.237</v>
      </c>
      <c r="F58" s="30" t="n">
        <v>-14.363</v>
      </c>
      <c r="G58" s="30" t="n">
        <v>-24.125</v>
      </c>
      <c r="I58" s="10" t="inlineStr">
        <is>
          <t>FY2025 10-K Statements of Cash Flows (FY23-25); FY2023 10-K (FY21-22). Excluded from NWC - taxes are modelled separately in NOPAT.</t>
        </is>
      </c>
    </row>
    <row r="59">
      <c r="A59" s="29" t="inlineStr">
        <is>
          <t xml:space="preserve">    Operating lease assets (excluded from NWC)</t>
        </is>
      </c>
      <c r="B59" s="7" t="inlineStr">
        <is>
          <t>$mm</t>
        </is>
      </c>
      <c r="C59" s="30" t="n">
        <v>223.837</v>
      </c>
      <c r="D59" s="30" t="n">
        <v>234.273</v>
      </c>
      <c r="E59" s="30" t="n">
        <v>254.241</v>
      </c>
      <c r="F59" s="30" t="n">
        <v>285.587</v>
      </c>
      <c r="G59" s="30" t="n">
        <v>332.685</v>
      </c>
      <c r="I59" s="10" t="inlineStr">
        <is>
          <t>FY2025 10-K Statements of Cash Flows (FY23-25); FY2023 10-K (FY21-22). Excluded - lease accounting, not working capital.</t>
        </is>
      </c>
    </row>
    <row r="60">
      <c r="A60" s="29" t="inlineStr">
        <is>
          <t xml:space="preserve">    Operating lease liabilities (excluded from NWC)</t>
        </is>
      </c>
      <c r="B60" s="7" t="inlineStr">
        <is>
          <t>$mm</t>
        </is>
      </c>
      <c r="C60" s="30" t="n">
        <v>-207.164</v>
      </c>
      <c r="D60" s="30" t="n">
        <v>-207.186</v>
      </c>
      <c r="E60" s="30" t="n">
        <v>-214.477</v>
      </c>
      <c r="F60" s="30" t="n">
        <v>-217.894</v>
      </c>
      <c r="G60" s="30" t="n">
        <v>-258.228</v>
      </c>
      <c r="I60" s="10" t="inlineStr">
        <is>
          <t>FY2025 10-K Statements of Cash Flows (FY23-25); FY2023 10-K (FY21-22). Excluded - lease accounting, not working capital.</t>
        </is>
      </c>
    </row>
    <row r="61">
      <c r="A61" s="29" t="inlineStr">
        <is>
          <t>Memo: FY2020 total revenue</t>
        </is>
      </c>
      <c r="B61" s="7" t="inlineStr">
        <is>
          <t>$mm</t>
        </is>
      </c>
      <c r="C61" s="30" t="n">
        <v>5984.634</v>
      </c>
      <c r="I61" s="10" t="inlineStr">
        <is>
          <t>FY2021 10-K Results of Operations. Needed only to compute the FY2021 change in revenue.</t>
        </is>
      </c>
    </row>
    <row r="62">
      <c r="A62" s="14" t="inlineStr">
        <is>
          <t>Change in revenue</t>
        </is>
      </c>
      <c r="B62" s="7" t="inlineStr">
        <is>
          <t>$mm</t>
        </is>
      </c>
      <c r="C62" s="39">
        <f>C6-C61</f>
        <v/>
      </c>
      <c r="D62" s="39">
        <f>D6-C6</f>
        <v/>
      </c>
      <c r="E62" s="39">
        <f>E6-D6</f>
        <v/>
      </c>
      <c r="F62" s="39">
        <f>F6-E6</f>
        <v/>
      </c>
      <c r="G62" s="39">
        <f>G6-F6</f>
        <v/>
      </c>
    </row>
    <row r="63">
      <c r="A63" s="6" t="inlineStr">
        <is>
          <t>Change in NWC as % of change in revenue</t>
        </is>
      </c>
      <c r="B63" s="7" t="inlineStr">
        <is>
          <t>%</t>
        </is>
      </c>
      <c r="C63" s="36">
        <f>C57/C62</f>
        <v/>
      </c>
      <c r="D63" s="36">
        <f>D57/D62</f>
        <v/>
      </c>
      <c r="E63" s="36">
        <f>E57/E62</f>
        <v/>
      </c>
      <c r="F63" s="36">
        <f>F57/F62</f>
        <v/>
      </c>
      <c r="G63" s="36">
        <f>G57/G62</f>
        <v/>
      </c>
      <c r="I63" s="10" t="inlineStr">
        <is>
          <t>Positive = working capital RELEASES cash as revenue grows. Chipotle runs negative working capital: guests pay at the point of sale while suppliers are paid on ~10-day terms (FY2025 10-K, Liquidity and Capital Resources).</t>
        </is>
      </c>
    </row>
    <row r="65">
      <c r="A65" s="4" t="inlineStr">
        <is>
          <t>BALANCE SHEET ($ in millions, fiscal year-end)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</row>
    <row r="66">
      <c r="A66" s="14" t="inlineStr">
        <is>
          <t>Cash and cash equivalents</t>
        </is>
      </c>
      <c r="B66" s="7" t="inlineStr">
        <is>
          <t>$mm</t>
        </is>
      </c>
      <c r="C66" s="26" t="n">
        <v>815.374</v>
      </c>
      <c r="D66" s="26" t="n">
        <v>384</v>
      </c>
      <c r="E66" s="26" t="n">
        <v>560.609</v>
      </c>
      <c r="F66" s="26" t="n">
        <v>748.537</v>
      </c>
      <c r="G66" s="26" t="n">
        <v>350.545</v>
      </c>
      <c r="I66" s="10" t="inlineStr">
        <is>
          <t>SEC XBRL companyfacts us-gaap:CashAndCashEquivalentsAtCarryingValue (10-K values), retrieved 2026-09-06</t>
        </is>
      </c>
    </row>
    <row r="67">
      <c r="A67" s="14" t="inlineStr">
        <is>
          <t>Short-term investments</t>
        </is>
      </c>
      <c r="B67" s="7" t="inlineStr">
        <is>
          <t>$mm</t>
        </is>
      </c>
      <c r="C67" s="26" t="n">
        <v>260.945</v>
      </c>
      <c r="D67" s="26" t="n">
        <v>515.136</v>
      </c>
      <c r="E67" s="26" t="n">
        <v>734.838</v>
      </c>
      <c r="F67" s="26" t="n">
        <v>674.378</v>
      </c>
      <c r="G67" s="26" t="n">
        <v>698.591</v>
      </c>
      <c r="I67" s="10" t="inlineStr">
        <is>
          <t>SEC XBRL companyfacts us-gaap:MarketableSecuritiesCurrent (10-K values), retrieved 2026-09-06</t>
        </is>
      </c>
    </row>
    <row r="68">
      <c r="A68" s="14" t="inlineStr">
        <is>
          <t>Long-term investments</t>
        </is>
      </c>
      <c r="B68" s="7" t="inlineStr">
        <is>
          <t>$mm</t>
        </is>
      </c>
      <c r="C68" s="26" t="n">
        <v>274.311</v>
      </c>
      <c r="D68" s="26" t="n">
        <v>388.055</v>
      </c>
      <c r="E68" s="26" t="n">
        <v>564.4880000000001</v>
      </c>
      <c r="F68" s="26" t="n">
        <v>868.025</v>
      </c>
      <c r="G68" s="26" t="n">
        <v>197.123</v>
      </c>
      <c r="I68" s="10" t="inlineStr">
        <is>
          <t>SEC XBRL companyfacts us-gaap:LongTermInvestments (10-K values), retrieved 2026-09-06. Includes non-marketable equity investments.</t>
        </is>
      </c>
    </row>
    <row r="69">
      <c r="A69" s="6" t="inlineStr">
        <is>
          <t>Total cash and investments</t>
        </is>
      </c>
      <c r="B69" s="7" t="inlineStr">
        <is>
          <t>$mm</t>
        </is>
      </c>
      <c r="C69" s="28">
        <f>C66+C67+C68</f>
        <v/>
      </c>
      <c r="D69" s="28">
        <f>D66+D67+D68</f>
        <v/>
      </c>
      <c r="E69" s="28">
        <f>E66+E67+E68</f>
        <v/>
      </c>
      <c r="F69" s="28">
        <f>F66+F67+F68</f>
        <v/>
      </c>
      <c r="G69" s="28">
        <f>G66+G67+G68</f>
        <v/>
      </c>
      <c r="I69" s="10" t="inlineStr">
        <is>
          <t>Feeds the Valuation Bridge. Excludes restricted cash ($35.4m at 12/31/2025).</t>
        </is>
      </c>
    </row>
    <row r="70">
      <c r="A70" s="6" t="inlineStr">
        <is>
          <t>Total debt</t>
        </is>
      </c>
      <c r="B70" s="7" t="inlineStr">
        <is>
          <t>$mm</t>
        </is>
      </c>
      <c r="C70" s="25" t="n">
        <v>0</v>
      </c>
      <c r="D70" s="25" t="n">
        <v>0</v>
      </c>
      <c r="E70" s="25" t="n">
        <v>0</v>
      </c>
      <c r="F70" s="25" t="n">
        <v>0</v>
      </c>
      <c r="G70" s="25" t="n">
        <v>0</v>
      </c>
      <c r="I70" s="10" t="inlineStr">
        <is>
          <t>FY2025 10-K Note 12 Debt: 500.0m revolving credit facility with JPMorgan, undrawn at 2025-12-31. No borrowings outstanding in any year; us-gaap:LongTermDebt = 0.</t>
        </is>
      </c>
    </row>
    <row r="71">
      <c r="A71" s="6" t="inlineStr">
        <is>
          <t>Net cash / (net debt)</t>
        </is>
      </c>
      <c r="B71" s="7" t="inlineStr">
        <is>
          <t>$mm</t>
        </is>
      </c>
      <c r="C71" s="32">
        <f>C69-C70</f>
        <v/>
      </c>
      <c r="D71" s="32">
        <f>D69-D70</f>
        <v/>
      </c>
      <c r="E71" s="32">
        <f>E69-E70</f>
        <v/>
      </c>
      <c r="F71" s="32">
        <f>F69-F70</f>
        <v/>
      </c>
      <c r="G71" s="32">
        <f>G69-G70</f>
        <v/>
      </c>
    </row>
    <row r="72">
      <c r="A72" s="29" t="inlineStr">
        <is>
          <t>Operating lease liabilities - current</t>
        </is>
      </c>
      <c r="B72" s="7" t="inlineStr">
        <is>
          <t>$mm</t>
        </is>
      </c>
      <c r="C72" s="30" t="n">
        <v>218.713</v>
      </c>
      <c r="D72" s="30" t="n">
        <v>236.248</v>
      </c>
      <c r="E72" s="30" t="n">
        <v>248.074</v>
      </c>
      <c r="F72" s="30" t="n">
        <v>277.836</v>
      </c>
      <c r="G72" s="30" t="n">
        <v>302.38</v>
      </c>
      <c r="I72" s="10" t="inlineStr">
        <is>
          <t>SEC XBRL companyfacts us-gaap:OperatingLeaseLiabilityCurrent (10-K values), retrieved 2026-09-06</t>
        </is>
      </c>
    </row>
    <row r="73">
      <c r="A73" s="29" t="inlineStr">
        <is>
          <t>Operating lease liabilities - non-current</t>
        </is>
      </c>
      <c r="B73" s="7" t="inlineStr">
        <is>
          <t>$mm</t>
        </is>
      </c>
      <c r="C73" s="30" t="n">
        <v>3301.601</v>
      </c>
      <c r="D73" s="30" t="n">
        <v>3495.162</v>
      </c>
      <c r="E73" s="30" t="n">
        <v>3803.551</v>
      </c>
      <c r="F73" s="30" t="n">
        <v>4262.782</v>
      </c>
      <c r="G73" s="30" t="n">
        <v>4773.434</v>
      </c>
      <c r="I73" s="10" t="inlineStr">
        <is>
          <t>SEC XBRL companyfacts us-gaap:OperatingLeaseLiabilityNoncurrent (10-K values), retrieved 2026-09-06</t>
        </is>
      </c>
    </row>
    <row r="74">
      <c r="A74" s="40" t="inlineStr">
        <is>
          <t>Total operating lease liabilities (NOT in net debt)</t>
        </is>
      </c>
      <c r="B74" s="7" t="inlineStr">
        <is>
          <t>$mm</t>
        </is>
      </c>
      <c r="C74" s="41">
        <f>C72+C73</f>
        <v/>
      </c>
      <c r="D74" s="41">
        <f>D72+D73</f>
        <v/>
      </c>
      <c r="E74" s="41">
        <f>E72+E73</f>
        <v/>
      </c>
      <c r="F74" s="41">
        <f>F72+F73</f>
        <v/>
      </c>
      <c r="G74" s="41">
        <f>G72+G73</f>
        <v/>
      </c>
      <c r="I74" s="10" t="inlineStr">
        <is>
          <t>EXCLUDED from net debt because occupancy cost is left inside EBIT. See the lease treatment block on the WACC tab.</t>
        </is>
      </c>
    </row>
    <row r="75">
      <c r="A75" s="29" t="inlineStr">
        <is>
          <t>Operating lease right-of-use assets</t>
        </is>
      </c>
      <c r="B75" s="7" t="inlineStr">
        <is>
          <t>$mm</t>
        </is>
      </c>
      <c r="C75" s="30" t="n">
        <v>3118.294</v>
      </c>
      <c r="D75" s="30" t="n">
        <v>3302.402</v>
      </c>
      <c r="E75" s="30" t="n">
        <v>3578.548</v>
      </c>
      <c r="F75" s="30" t="n">
        <v>4000.127</v>
      </c>
      <c r="G75" s="30" t="n">
        <v>4463.01</v>
      </c>
      <c r="I75" s="10" t="inlineStr">
        <is>
          <t>SEC XBRL companyfacts us-gaap:OperatingLeaseRightOfUseAsset (10-K values), retrieved 2026-09-06</t>
        </is>
      </c>
    </row>
    <row r="77">
      <c r="A77" s="4" t="inlineStr">
        <is>
          <t>SHARE COUNT (post 50-for-1 stock split, effective 26 June 2024)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</row>
    <row r="78">
      <c r="A78" s="14" t="inlineStr">
        <is>
          <t>Diluted weighted-average shares outstanding</t>
        </is>
      </c>
      <c r="B78" s="7" t="inlineStr">
        <is>
          <t>mm</t>
        </is>
      </c>
      <c r="C78" s="42" t="n">
        <v>1425.55</v>
      </c>
      <c r="D78" s="42" t="n">
        <v>1403.077</v>
      </c>
      <c r="E78" s="42" t="n">
        <v>1385.5</v>
      </c>
      <c r="F78" s="42" t="n">
        <v>1376.555</v>
      </c>
      <c r="G78" s="42" t="n">
        <v>1342.616</v>
      </c>
      <c r="I78" s="10" t="inlineStr">
        <is>
          <t>FY2024 10-K and FY2025 10-K (post-split, as restated) for FY2022-25. FY2021 = 28.511m as reported pre-split x 50, per the 50-for-1 split effective 2024-06-26 (FY2024 10-K Note 1). FY2021 figure is DERIVED.</t>
        </is>
      </c>
    </row>
    <row r="79">
      <c r="A79" s="14" t="inlineStr">
        <is>
          <t>Basic weighted-average shares outstanding</t>
        </is>
      </c>
      <c r="B79" s="7" t="inlineStr">
        <is>
          <t>mm</t>
        </is>
      </c>
      <c r="E79" s="42" t="n">
        <v>1377.768</v>
      </c>
      <c r="F79" s="42" t="n">
        <v>1368.343</v>
      </c>
      <c r="G79" s="42" t="n">
        <v>1337.336</v>
      </c>
      <c r="I79" s="10" t="inlineStr">
        <is>
          <t>FY2025 10-K Consolidated Statements of Income</t>
        </is>
      </c>
    </row>
    <row r="80">
      <c r="A80" s="14" t="inlineStr">
        <is>
          <t>Dilution factor (diluted / basic)</t>
        </is>
      </c>
      <c r="B80" s="7" t="inlineStr">
        <is>
          <t>x</t>
        </is>
      </c>
      <c r="E80" s="43">
        <f>E78/E79</f>
        <v/>
      </c>
      <c r="F80" s="43">
        <f>F78/F79</f>
        <v/>
      </c>
      <c r="G80" s="43">
        <f>G78/G79</f>
        <v/>
      </c>
      <c r="I80" s="10" t="inlineStr">
        <is>
          <t>Only ~0.4% - Chipotle's option and RSU overhang is small.</t>
        </is>
      </c>
    </row>
    <row r="82">
      <c r="A82" s="4" t="inlineStr">
        <is>
          <t>OPERATING METRICS - company-owned restaurants only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</row>
    <row r="83">
      <c r="A83" s="20" t="inlineStr">
        <is>
          <t>Chipotle owns and operates all of its restaurants. The 14 partner-operated (licensed) units in the Middle East are excluded - they generate no consolidated restaurant revenue. There is no franchise revenue to model.</t>
        </is>
      </c>
    </row>
    <row r="84">
      <c r="A84" s="14" t="inlineStr">
        <is>
          <t>Restaurants - beginning of period</t>
        </is>
      </c>
      <c r="B84" s="7" t="inlineStr">
        <is>
          <t>#</t>
        </is>
      </c>
      <c r="C84" s="42" t="n">
        <v>2768</v>
      </c>
      <c r="D84" s="42" t="n">
        <v>2966</v>
      </c>
      <c r="E84" s="42" t="n">
        <v>3187</v>
      </c>
      <c r="F84" s="42" t="n">
        <v>3437</v>
      </c>
      <c r="G84" s="42" t="n">
        <v>3726</v>
      </c>
      <c r="I84" s="10" t="inlineStr">
        <is>
          <t>FY2025 10-K Restaurant Activity table (FY24-25); FY2023 10-K (FY22-23); FY2021 10-K (FY21)</t>
        </is>
      </c>
    </row>
    <row r="85">
      <c r="A85" s="14" t="inlineStr">
        <is>
          <t xml:space="preserve">    Openings</t>
        </is>
      </c>
      <c r="B85" s="7" t="inlineStr">
        <is>
          <t>#</t>
        </is>
      </c>
      <c r="C85" s="42" t="n">
        <v>215</v>
      </c>
      <c r="D85" s="42" t="n">
        <v>236</v>
      </c>
      <c r="E85" s="42" t="n">
        <v>271</v>
      </c>
      <c r="F85" s="42" t="n">
        <v>304</v>
      </c>
      <c r="G85" s="42" t="n">
        <v>334</v>
      </c>
      <c r="I85" s="10" t="inlineStr">
        <is>
          <t>FY2025 10-K Restaurant Activity table (FY24-25); FY2023 10-K (FY22-23, incl. 1 non-Chipotle opening each year); FY2021 10-K (FY21)</t>
        </is>
      </c>
    </row>
    <row r="86">
      <c r="A86" s="14" t="inlineStr">
        <is>
          <t xml:space="preserve">    Closures and relocations</t>
        </is>
      </c>
      <c r="B86" s="7" t="inlineStr">
        <is>
          <t>#</t>
        </is>
      </c>
      <c r="C86" s="42" t="n">
        <v>-17</v>
      </c>
      <c r="D86" s="42" t="n">
        <v>-15</v>
      </c>
      <c r="E86" s="42" t="n">
        <v>-21</v>
      </c>
      <c r="F86" s="42" t="n">
        <v>-15</v>
      </c>
      <c r="G86" s="42" t="n">
        <v>-18</v>
      </c>
      <c r="I86" s="10" t="inlineStr">
        <is>
          <t>FY2025 10-K Restaurant Activity table (FY24-25); FY2023 10-K (FY22-23); FY2021 10-K (FY21). Permanent closures plus relocations.</t>
        </is>
      </c>
    </row>
    <row r="87">
      <c r="A87" s="6" t="inlineStr">
        <is>
          <t>Restaurants - end of period</t>
        </is>
      </c>
      <c r="B87" s="7" t="inlineStr">
        <is>
          <t>#</t>
        </is>
      </c>
      <c r="C87" s="44">
        <f>C84+C85+C86</f>
        <v/>
      </c>
      <c r="D87" s="44">
        <f>D84+D85+D86</f>
        <v/>
      </c>
      <c r="E87" s="44">
        <f>E84+E85+E86</f>
        <v/>
      </c>
      <c r="F87" s="44">
        <f>F84+F85+F86</f>
        <v/>
      </c>
      <c r="G87" s="44">
        <f>G84+G85+G86</f>
        <v/>
      </c>
    </row>
    <row r="88">
      <c r="A88" s="29" t="inlineStr">
        <is>
          <t>Memo: end of period as reported</t>
        </is>
      </c>
      <c r="B88" s="7" t="inlineStr">
        <is>
          <t>#</t>
        </is>
      </c>
      <c r="C88" s="45" t="n">
        <v>2966</v>
      </c>
      <c r="D88" s="45" t="n">
        <v>3187</v>
      </c>
      <c r="E88" s="45" t="n">
        <v>3437</v>
      </c>
      <c r="F88" s="45" t="n">
        <v>3726</v>
      </c>
      <c r="G88" s="45" t="n">
        <v>4042</v>
      </c>
      <c r="I88" s="10" t="inlineStr">
        <is>
          <t>FY2025 10-K Restaurant Activity table and Item 1 (FY25: 3938 U.S. + 104 international); FY2023 10-K; FY2021 10-K</t>
        </is>
      </c>
    </row>
    <row r="89">
      <c r="A89" s="29" t="inlineStr">
        <is>
          <t>Check: build vs. reported (must be 0)</t>
        </is>
      </c>
      <c r="B89" s="7" t="inlineStr">
        <is>
          <t>#</t>
        </is>
      </c>
      <c r="C89" s="46">
        <f>C87-C88</f>
        <v/>
      </c>
      <c r="D89" s="46">
        <f>D87-D88</f>
        <v/>
      </c>
      <c r="E89" s="46">
        <f>E87-E88</f>
        <v/>
      </c>
      <c r="F89" s="46">
        <f>F87-F88</f>
        <v/>
      </c>
      <c r="G89" s="46">
        <f>G87-G88</f>
        <v/>
      </c>
    </row>
    <row r="90">
      <c r="A90" s="14" t="inlineStr">
        <is>
          <t>Average restaurants during the period</t>
        </is>
      </c>
      <c r="B90" s="7" t="inlineStr">
        <is>
          <t>#</t>
        </is>
      </c>
      <c r="C90" s="47">
        <f>(C84+C87)/2</f>
        <v/>
      </c>
      <c r="D90" s="47">
        <f>(D84+D87)/2</f>
        <v/>
      </c>
      <c r="E90" s="47">
        <f>(E84+E87)/2</f>
        <v/>
      </c>
      <c r="F90" s="47">
        <f>(F84+F87)/2</f>
        <v/>
      </c>
      <c r="G90" s="47">
        <f>(G84+G87)/2</f>
        <v/>
      </c>
    </row>
    <row r="91">
      <c r="A91" s="14" t="inlineStr">
        <is>
          <t>Unit growth (YoY, end of period)</t>
        </is>
      </c>
      <c r="B91" s="7" t="inlineStr">
        <is>
          <t>%</t>
        </is>
      </c>
      <c r="D91" s="35">
        <f>D87/C87-1</f>
        <v/>
      </c>
      <c r="E91" s="35">
        <f>E87/D87-1</f>
        <v/>
      </c>
      <c r="F91" s="35">
        <f>F87/E87-1</f>
        <v/>
      </c>
      <c r="G91" s="35">
        <f>G87/F87-1</f>
        <v/>
      </c>
    </row>
    <row r="92">
      <c r="A92" s="14" t="inlineStr">
        <is>
          <t>Average restaurant sales (AUV)</t>
        </is>
      </c>
      <c r="B92" s="7" t="inlineStr">
        <is>
          <t>$mm</t>
        </is>
      </c>
      <c r="C92" s="48" t="n">
        <v>2.6</v>
      </c>
      <c r="D92" s="48" t="n">
        <v>2.8</v>
      </c>
      <c r="E92" s="48" t="n">
        <v>3.018</v>
      </c>
      <c r="F92" s="48" t="n">
        <v>3.213</v>
      </c>
      <c r="G92" s="48" t="n">
        <v>3.104</v>
      </c>
      <c r="I92" s="10" t="inlineStr">
        <is>
          <t>FY2025 10-K Results of Operations (FY24-25); FY2024 10-K (FY23-24); FY2023 10-K (FY22-23); FY2021 10-K (FY21). FY2021-22 disclosed only to one decimal.</t>
        </is>
      </c>
    </row>
    <row r="93">
      <c r="A93" s="14" t="inlineStr">
        <is>
          <t xml:space="preserve">    AUV growth (YoY)</t>
        </is>
      </c>
      <c r="B93" s="7" t="inlineStr">
        <is>
          <t>%</t>
        </is>
      </c>
      <c r="D93" s="35">
        <f>D92/C92-1</f>
        <v/>
      </c>
      <c r="E93" s="35">
        <f>E92/D92-1</f>
        <v/>
      </c>
      <c r="F93" s="35">
        <f>F92/E92-1</f>
        <v/>
      </c>
      <c r="G93" s="35">
        <f>G92/F92-1</f>
        <v/>
      </c>
    </row>
    <row r="94">
      <c r="A94" s="14" t="inlineStr">
        <is>
          <t>Comparable restaurant sales growth</t>
        </is>
      </c>
      <c r="B94" s="7" t="inlineStr">
        <is>
          <t>%</t>
        </is>
      </c>
      <c r="C94" s="33" t="n">
        <v>0.193</v>
      </c>
      <c r="D94" s="33" t="n">
        <v>0.08</v>
      </c>
      <c r="E94" s="33" t="n">
        <v>0.079</v>
      </c>
      <c r="F94" s="33" t="n">
        <v>0.074</v>
      </c>
      <c r="G94" s="33" t="n">
        <v>-0.017</v>
      </c>
      <c r="I94" s="10" t="inlineStr">
        <is>
          <t>FY2025 10-K Results of Operations (FY24-25); FY2023 10-K (FY22-23); FY2021 10-K (FY21)</t>
        </is>
      </c>
    </row>
    <row r="95">
      <c r="A95" s="6" t="inlineStr">
        <is>
          <t>Revenue realisation factor: revenue / (avg units x AUV)</t>
        </is>
      </c>
      <c r="B95" s="7" t="inlineStr">
        <is>
          <t>x</t>
        </is>
      </c>
      <c r="C95" s="49">
        <f>C6/(C90*C92)</f>
        <v/>
      </c>
      <c r="D95" s="49">
        <f>D6/(D90*D92)</f>
        <v/>
      </c>
      <c r="E95" s="49">
        <f>E6/(E90*E92)</f>
        <v/>
      </c>
      <c r="F95" s="49">
        <f>F6/(F90*F92)</f>
        <v/>
      </c>
      <c r="G95" s="49">
        <f>G6/(G90*G92)</f>
        <v/>
      </c>
      <c r="I95" s="10" t="inlineStr">
        <is>
          <t>Below 1.0x because units opened during the year contribute only a partial year of sales while AUV is a trailing-12-month figure for mature units. The FY2023-25 average of this row is the calibration input on the Assumptions tab.</t>
        </is>
      </c>
    </row>
    <row r="96">
      <c r="A96" s="29" t="inlineStr">
        <is>
          <t xml:space="preserve">  FY2023A-FY2025A average (used in the forecast)</t>
        </is>
      </c>
      <c r="B96" s="7" t="inlineStr">
        <is>
          <t>x</t>
        </is>
      </c>
      <c r="G96" s="50">
        <f>AVERAGE(E95:G95)</f>
        <v/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I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  <col width="96" customWidth="1" min="9" max="9"/>
  </cols>
  <sheetData>
    <row r="1">
      <c r="A1" s="1" t="inlineStr">
        <is>
          <t>ASSUMPTIONS - FY2026E to FY2030E forecast drivers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INPUT | Every forward-looking driver in the model. Blue cells are the only things you change. Revenue is built units x AUV, not a top-line growth rate.</t>
        </is>
      </c>
    </row>
    <row r="4">
      <c r="A4" s="21" t="inlineStr"/>
      <c r="B4" s="22" t="inlineStr">
        <is>
          <t>Units</t>
        </is>
      </c>
      <c r="C4" s="23" t="inlineStr">
        <is>
          <t>FY2026E</t>
        </is>
      </c>
      <c r="D4" s="23" t="inlineStr">
        <is>
          <t>FY2027E</t>
        </is>
      </c>
      <c r="E4" s="23" t="inlineStr">
        <is>
          <t>FY2028E</t>
        </is>
      </c>
      <c r="F4" s="23" t="inlineStr">
        <is>
          <t>FY2029E</t>
        </is>
      </c>
      <c r="G4" s="23" t="inlineStr">
        <is>
          <t>FY2030E</t>
        </is>
      </c>
      <c r="I4" s="24" t="inlineStr">
        <is>
          <t>Source / note</t>
        </is>
      </c>
    </row>
    <row r="5">
      <c r="A5" s="20" t="inlineStr">
        <is>
          <t>BLUE = hardcoded assumption (the only cells you should change). BLACK = formula on this sheet. GREEN = link to another sheet.</t>
        </is>
      </c>
    </row>
    <row r="7">
      <c r="A7" s="4" t="inlineStr">
        <is>
          <t>REVENUE BUILD - restaurant count x AUV (never a blunt top-line growth rate)</t>
        </is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14" t="inlineStr">
        <is>
          <t>Restaurants - beginning of period</t>
        </is>
      </c>
      <c r="B8" s="7" t="inlineStr">
        <is>
          <t>#</t>
        </is>
      </c>
      <c r="C8" s="16">
        <f>Historicals!G87</f>
        <v/>
      </c>
      <c r="D8" s="16">
        <f>C11</f>
        <v/>
      </c>
      <c r="E8" s="16">
        <f>D11</f>
        <v/>
      </c>
      <c r="F8" s="16">
        <f>E11</f>
        <v/>
      </c>
      <c r="G8" s="16">
        <f>F11</f>
        <v/>
      </c>
      <c r="I8" s="10" t="inlineStr">
        <is>
          <t>FY2026E opens from the FY2025A closing count of 4,042 on the Historicals tab.</t>
        </is>
      </c>
    </row>
    <row r="9">
      <c r="A9" s="14" t="inlineStr">
        <is>
          <t xml:space="preserve">    New restaurant openings</t>
        </is>
      </c>
      <c r="B9" s="7" t="inlineStr">
        <is>
          <t>#</t>
        </is>
      </c>
      <c r="C9" s="42" t="n">
        <v>347</v>
      </c>
      <c r="D9" s="42" t="n">
        <v>355</v>
      </c>
      <c r="E9" s="42" t="n">
        <v>360</v>
      </c>
      <c r="F9" s="42" t="n">
        <v>365</v>
      </c>
      <c r="G9" s="42" t="n">
        <v>370</v>
      </c>
      <c r="I9" s="10" t="inlineStr">
        <is>
          <t>FY2025 10-K MD&amp;A: 'We expect to open approximately 350 to 370 restaurants in 2026, which includes 10 to 15 international partner-operated restaurants.' Midpoint 360 less ~13 partner-operated = 347 company-owned in FY2026. FY2027-30 held roughly flat to modestly up, consistent with the FY2021-25 trend (215 / 236 / 271 / 304 / 334) and the stated long-term goal of 7,000 restaurants in the U.S. and Canada.</t>
        </is>
      </c>
    </row>
    <row r="10">
      <c r="A10" s="14" t="inlineStr">
        <is>
          <t xml:space="preserve">    Closures and relocations</t>
        </is>
      </c>
      <c r="B10" s="7" t="inlineStr">
        <is>
          <t>#</t>
        </is>
      </c>
      <c r="C10" s="42" t="n">
        <v>-18</v>
      </c>
      <c r="D10" s="42" t="n">
        <v>-18</v>
      </c>
      <c r="E10" s="42" t="n">
        <v>-18</v>
      </c>
      <c r="F10" s="42" t="n">
        <v>-18</v>
      </c>
      <c r="G10" s="42" t="n">
        <v>-18</v>
      </c>
      <c r="I10" s="10" t="inlineStr">
        <is>
          <t>FY2021-25 permanent closures plus relocations averaged 17/yr (17, 15, 21, 15, 18 per the 10-K Restaurant Activity tables). Held at 18/yr.</t>
        </is>
      </c>
    </row>
    <row r="11">
      <c r="A11" s="6" t="inlineStr">
        <is>
          <t>Restaurants - end of period</t>
        </is>
      </c>
      <c r="B11" s="7" t="inlineStr">
        <is>
          <t>#</t>
        </is>
      </c>
      <c r="C11" s="44">
        <f>C8+C9+C10</f>
        <v/>
      </c>
      <c r="D11" s="44">
        <f>D8+D9+D10</f>
        <v/>
      </c>
      <c r="E11" s="44">
        <f>E8+E9+E10</f>
        <v/>
      </c>
      <c r="F11" s="44">
        <f>F8+F9+F10</f>
        <v/>
      </c>
      <c r="G11" s="44">
        <f>G8+G9+G10</f>
        <v/>
      </c>
    </row>
    <row r="12">
      <c r="A12" s="14" t="inlineStr">
        <is>
          <t xml:space="preserve">    Unit growth (YoY)</t>
        </is>
      </c>
      <c r="B12" s="7" t="inlineStr">
        <is>
          <t>%</t>
        </is>
      </c>
      <c r="C12" s="35">
        <f>C11/Historicals!G87-1</f>
        <v/>
      </c>
      <c r="D12" s="35">
        <f>D11/C11-1</f>
        <v/>
      </c>
      <c r="E12" s="35">
        <f>E11/D11-1</f>
        <v/>
      </c>
      <c r="F12" s="35">
        <f>F11/E11-1</f>
        <v/>
      </c>
      <c r="G12" s="35">
        <f>G11/F11-1</f>
        <v/>
      </c>
    </row>
    <row r="13">
      <c r="A13" s="14" t="inlineStr">
        <is>
          <t>Average restaurants during the period</t>
        </is>
      </c>
      <c r="B13" s="7" t="inlineStr">
        <is>
          <t>#</t>
        </is>
      </c>
      <c r="C13" s="47">
        <f>(C8+C11)/2</f>
        <v/>
      </c>
      <c r="D13" s="47">
        <f>(D8+D11)/2</f>
        <v/>
      </c>
      <c r="E13" s="47">
        <f>(E8+E11)/2</f>
        <v/>
      </c>
      <c r="F13" s="47">
        <f>(F8+F11)/2</f>
        <v/>
      </c>
      <c r="G13" s="47">
        <f>(G8+G11)/2</f>
        <v/>
      </c>
    </row>
    <row r="15">
      <c r="A15" s="14" t="inlineStr">
        <is>
          <t>AUV growth (YoY)</t>
        </is>
      </c>
      <c r="B15" s="7" t="inlineStr">
        <is>
          <t>%</t>
        </is>
      </c>
      <c r="C15" s="33" t="n">
        <v>0</v>
      </c>
      <c r="D15" s="33" t="n">
        <v>0.015</v>
      </c>
      <c r="E15" s="33" t="n">
        <v>0.02</v>
      </c>
      <c r="F15" s="33" t="n">
        <v>0.025</v>
      </c>
      <c r="G15" s="33" t="n">
        <v>0.025</v>
      </c>
      <c r="I15" s="10" t="inlineStr">
        <is>
          <t>FY2026: flat. Management guides FY2026 comparable restaurant sales to 'be about flat' (FY2025 10-K MD&amp;A); H1 2026 revenue of $6,436.8m (Q2 2026 10-Q) is +8.4% YoY against ~8.5% average-unit growth, implying AUV roughly flat. FY2027-30: 1.5% rising to 2.5%, i.e. menu pricing of ~2-3% (FY2025 menu price increase was 2.1%) partly offset by continued new-unit AUV dilution. Note AUV growth runs below comps in expansion years because the denominator includes lower-volume new units.</t>
        </is>
      </c>
    </row>
    <row r="16">
      <c r="A16" s="14" t="inlineStr">
        <is>
          <t>Average restaurant sales (AUV)</t>
        </is>
      </c>
      <c r="B16" s="7" t="inlineStr">
        <is>
          <t>$mm</t>
        </is>
      </c>
      <c r="C16" s="51">
        <f>Historicals!G92*(1+C15)</f>
        <v/>
      </c>
      <c r="D16" s="51">
        <f>C16*(1+D15)</f>
        <v/>
      </c>
      <c r="E16" s="51">
        <f>D16*(1+E15)</f>
        <v/>
      </c>
      <c r="F16" s="51">
        <f>E16*(1+F15)</f>
        <v/>
      </c>
      <c r="G16" s="51">
        <f>F16*(1+G15)</f>
        <v/>
      </c>
      <c r="I16" s="10" t="inlineStr">
        <is>
          <t>Grown off the FY2025A AUV of $3.104m on the Historicals tab.</t>
        </is>
      </c>
    </row>
    <row r="17">
      <c r="A17" s="14" t="inlineStr">
        <is>
          <t>Revenue realisation factor</t>
        </is>
      </c>
      <c r="B17" s="7" t="inlineStr">
        <is>
          <t>x</t>
        </is>
      </c>
      <c r="C17" s="52" t="n">
        <v>0.9867</v>
      </c>
      <c r="I17" s="10" t="inlineStr">
        <is>
          <t>Computed as the FY2023-FY2025 average of [reported revenue / (average units x AUV)]: 0.988 (2023), 0.983 (2024), 0.989 (2025). Calibration input; see the Historicals tab where it is computed from filed figures.</t>
        </is>
      </c>
    </row>
    <row r="18">
      <c r="A18" s="6" t="inlineStr">
        <is>
          <t>TOTAL REVENUE</t>
        </is>
      </c>
      <c r="B18" s="7" t="inlineStr">
        <is>
          <t>$mm</t>
        </is>
      </c>
      <c r="C18" s="53">
        <f>C13*C16*$C$17</f>
        <v/>
      </c>
      <c r="D18" s="53">
        <f>D13*D16*$C$17</f>
        <v/>
      </c>
      <c r="E18" s="53">
        <f>E13*E16*$C$17</f>
        <v/>
      </c>
      <c r="F18" s="53">
        <f>F13*F16*$C$17</f>
        <v/>
      </c>
      <c r="G18" s="53">
        <f>G13*G16*$C$17</f>
        <v/>
      </c>
      <c r="I18" s="10" t="inlineStr">
        <is>
          <t>Average units x AUV x realisation factor. This is the only revenue line in the model; the DCF tab links to it.</t>
        </is>
      </c>
    </row>
    <row r="19">
      <c r="A19" s="14" t="inlineStr">
        <is>
          <t xml:space="preserve">    Revenue growth (YoY)</t>
        </is>
      </c>
      <c r="B19" s="7" t="inlineStr">
        <is>
          <t>%</t>
        </is>
      </c>
      <c r="C19" s="35">
        <f>C18/Historicals!G6-1</f>
        <v/>
      </c>
      <c r="D19" s="35">
        <f>D18/C18-1</f>
        <v/>
      </c>
      <c r="E19" s="35">
        <f>E18/D18-1</f>
        <v/>
      </c>
      <c r="F19" s="35">
        <f>F18/E18-1</f>
        <v/>
      </c>
      <c r="G19" s="35">
        <f>G18/F18-1</f>
        <v/>
      </c>
    </row>
    <row r="20">
      <c r="A20" s="29" t="inlineStr">
        <is>
          <t>Memo: FY2025A-FY2030E revenue CAGR</t>
        </is>
      </c>
      <c r="B20" s="7" t="inlineStr">
        <is>
          <t>%</t>
        </is>
      </c>
      <c r="G20" s="34">
        <f>(G18/Historicals!G6)^(1/5)-1</f>
        <v/>
      </c>
    </row>
    <row r="21">
      <c r="A21" s="29" t="inlineStr">
        <is>
          <t>Memo: comparable restaurant sales growth (context only)</t>
        </is>
      </c>
      <c r="B21" s="7" t="inlineStr">
        <is>
          <t>%</t>
        </is>
      </c>
      <c r="C21" s="54" t="n">
        <v>0</v>
      </c>
      <c r="D21" s="54" t="n">
        <v>0.015</v>
      </c>
      <c r="E21" s="54" t="n">
        <v>0.02</v>
      </c>
      <c r="F21" s="54" t="n">
        <v>0.025</v>
      </c>
      <c r="G21" s="54" t="n">
        <v>0.025</v>
      </c>
      <c r="I21" s="10" t="inlineStr">
        <is>
          <t>Disclosed as context, not as the revenue driver. FY2026 'about flat' per FY2025 10-K MD&amp;A. History: +19.3% (2021), +8.0% (2022), +7.9% (2023), +7.4% (2024), -1.7% (2025).</t>
        </is>
      </c>
    </row>
    <row r="23">
      <c r="A23" s="4" t="inlineStr">
        <is>
          <t>MARGIN PATH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20" t="inlineStr">
        <is>
          <t>STATED POSITION: near-term COMPRESSION, then partial recovery - not expansion. FY2025A was 16.2% and H1 2026 ran at 14.3%. The forecast troughs at 14.5% in FY2026E and recovers to 16.3% by FY2030E, back to the FY2025A level but still below the FY2024A peak of 16.9%.</t>
        </is>
      </c>
    </row>
    <row r="25">
      <c r="A25" s="6" t="inlineStr">
        <is>
          <t>EBIT margin</t>
        </is>
      </c>
      <c r="B25" s="7" t="inlineStr">
        <is>
          <t>% rev</t>
        </is>
      </c>
      <c r="C25" s="55" t="n">
        <v>0.145</v>
      </c>
      <c r="D25" s="55" t="n">
        <v>0.15</v>
      </c>
      <c r="E25" s="55" t="n">
        <v>0.155</v>
      </c>
      <c r="F25" s="55" t="n">
        <v>0.16</v>
      </c>
      <c r="G25" s="55" t="n">
        <v>0.163</v>
      </c>
      <c r="I25" s="10" t="inlineStr">
        <is>
          <t>PATH: compression then partial recovery - NOT a straight-line expansion. Actuals: 10.7% (2021), 13.4% (2022), 15.8% (2023), 16.9% (2024), 16.2% (2025). H1 2026 operating margin was 14.3% ($922.7m on $6,436.8m, Q2 2026 10-Q) versus 17.5% in H1 2025, so FY2026 is set at 14.5%. FY2027-30 recover to 16.3% - back to the FY2025 level but still below the FY2024 peak of 16.9% - as the tariff impact on food, beverage and packaging costs flagged in the FY2025 10-K normalises and comps return to positive territory. Terminal margin = 16.3%.</t>
        </is>
      </c>
    </row>
    <row r="26">
      <c r="A26" s="29" t="inlineStr">
        <is>
          <t>Memo: FY2021A-FY2025A actual EBIT margin</t>
        </is>
      </c>
      <c r="B26" s="7" t="inlineStr">
        <is>
          <t>% rev</t>
        </is>
      </c>
      <c r="C26" s="56">
        <f>Historicals!C37</f>
        <v/>
      </c>
      <c r="D26" s="56">
        <f>Historicals!D37</f>
        <v/>
      </c>
      <c r="E26" s="56">
        <f>Historicals!E37</f>
        <v/>
      </c>
      <c r="F26" s="56">
        <f>Historicals!F37</f>
        <v/>
      </c>
      <c r="G26" s="56">
        <f>Historicals!G37</f>
        <v/>
      </c>
      <c r="I26" s="10" t="inlineStr">
        <is>
          <t>Direct link to the Historicals tab so the assumption sits next to the trend.</t>
        </is>
      </c>
    </row>
    <row r="28">
      <c r="A28" s="4" t="inlineStr">
        <is>
          <t>TAX, CAPITAL INTENSITY AND WORKING CAPITAL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6" t="inlineStr">
        <is>
          <t>Effective tax rate</t>
        </is>
      </c>
      <c r="B29" s="7" t="inlineStr">
        <is>
          <t>%</t>
        </is>
      </c>
      <c r="C29" s="55" t="n">
        <v>0.24</v>
      </c>
      <c r="I29" s="10" t="inlineStr">
        <is>
          <t>FY2022-FY2025 reported effective rates averaged 23.9% (23.9% / 24.2% / 23.7% / 23.6%; FY2025 10-K Note 8). FY2021's 19.7% is excluded as it was inflated by unusually large excess tax benefits on equity compensation. Rounded to 24.0%.</t>
        </is>
      </c>
    </row>
    <row r="30">
      <c r="A30" s="14" t="inlineStr">
        <is>
          <t>D&amp;A as % of revenue</t>
        </is>
      </c>
      <c r="B30" s="7" t="inlineStr">
        <is>
          <t>% rev</t>
        </is>
      </c>
      <c r="C30" s="33" t="n">
        <v>0.031</v>
      </c>
      <c r="D30" s="33" t="n">
        <v>0.031</v>
      </c>
      <c r="E30" s="33" t="n">
        <v>0.031</v>
      </c>
      <c r="F30" s="33" t="n">
        <v>0.031</v>
      </c>
      <c r="G30" s="33" t="n">
        <v>0.031</v>
      </c>
      <c r="I30" s="10" t="inlineStr">
        <is>
          <t>D&amp;A / revenue: 3.4% (2021), 3.3% (2022), 3.2% (2023), 3.0% (2024), 3.0% (2025); H1 2026 = 3.0%. Held at 3.1% - slightly above the most recent year, reflecting the heavier fixed-asset base being built (Chipotlanes, kitchen automation).</t>
        </is>
      </c>
    </row>
    <row r="31">
      <c r="A31" s="14" t="inlineStr">
        <is>
          <t>CapEx as % of revenue</t>
        </is>
      </c>
      <c r="B31" s="7" t="inlineStr">
        <is>
          <t>% rev</t>
        </is>
      </c>
      <c r="C31" s="33" t="n">
        <v>0.065</v>
      </c>
      <c r="D31" s="33" t="n">
        <v>0.062</v>
      </c>
      <c r="E31" s="33" t="n">
        <v>0.06</v>
      </c>
      <c r="F31" s="33" t="n">
        <v>0.058</v>
      </c>
      <c r="G31" s="33" t="n">
        <v>0.056</v>
      </c>
      <c r="I31" s="10" t="inlineStr">
        <is>
          <t>FY2026 is guided: 'In 2026, we expect to incur about $834.1 million in total capital expenditures' (FY2025 10-K MD&amp;A), which is ~6.5% of forecast FY2026 revenue. Build cost is disclosed at ~$1.5m gross / ~$1.3m net of landlord reimbursements per new restaurant. FY2027-30 step down to 5.6% as absolute openings flatten against a larger revenue base. Actual capex/revenue: 5.9% (2021), 5.5% (2022), 5.7% (2023), 5.2% (2024), 5.6% (2025).</t>
        </is>
      </c>
    </row>
    <row r="32">
      <c r="A32" s="29" t="inlineStr">
        <is>
          <t>Memo: implied FY2026E capex vs. the $834.1m guided</t>
        </is>
      </c>
      <c r="B32" s="7" t="inlineStr">
        <is>
          <t>$mm</t>
        </is>
      </c>
      <c r="C32" s="31">
        <f>C31*C18</f>
        <v/>
      </c>
      <c r="I32" s="10" t="inlineStr">
        <is>
          <t>FY2025 10-K MD&amp;A: 'In 2026, we expect to incur about $834.1 million in total capital expenditures.' This row should land close to that number.</t>
        </is>
      </c>
    </row>
    <row r="33">
      <c r="A33" s="6" t="inlineStr">
        <is>
          <t>Change in NWC as % of change in revenue (+ = cash SOURCE)</t>
        </is>
      </c>
      <c r="B33" s="7" t="inlineStr">
        <is>
          <t>%</t>
        </is>
      </c>
      <c r="C33" s="55" t="n">
        <v>0.005</v>
      </c>
      <c r="I33" s="10" t="inlineStr">
        <is>
          <t>POSITIVE = cash SOURCE. Computed from the 10-K cash flow statements as the sum of the AR, inventory, prepaid, other assets, AP, accrued payroll, accrued liabilities, unearned revenue and other long-term liability lines, divided by the change in revenue: -0.8% (2021), +0.5% (2022), +4.9% (2023), +5.0% (2024), -7.2% (2025); 5-year average +0.5%. Income taxes payable and the operating lease asset/liability lines are excluded - taxes are handled inside NOPAT and leases are treated as an operating expense (see the WACC tab). Chipotle states in the FY2025 10-K that it 'has not required significant working capital because guests generally pay using cash or credit and debit cards' and it pays suppliers 'generally within ten days'.</t>
        </is>
      </c>
    </row>
    <row r="34">
      <c r="A34" s="29" t="inlineStr">
        <is>
          <t>Memo: FY2021A-FY2025A actual (same definition)</t>
        </is>
      </c>
      <c r="B34" s="7" t="inlineStr">
        <is>
          <t>%</t>
        </is>
      </c>
      <c r="C34" s="56">
        <f>Historicals!C63</f>
        <v/>
      </c>
      <c r="D34" s="56">
        <f>Historicals!D63</f>
        <v/>
      </c>
      <c r="E34" s="56">
        <f>Historicals!E63</f>
        <v/>
      </c>
      <c r="F34" s="56">
        <f>Historicals!F63</f>
        <v/>
      </c>
      <c r="G34" s="56">
        <f>Historicals!G63</f>
        <v/>
      </c>
    </row>
    <row r="36">
      <c r="A36" s="4" t="inlineStr">
        <is>
          <t>FORECAST PERIOD AND TERMINAL ASSUMPTIONS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</row>
    <row r="37">
      <c r="A37" s="14" t="inlineStr">
        <is>
          <t>Explicit forecast period</t>
        </is>
      </c>
      <c r="B37" s="7" t="inlineStr">
        <is>
          <t>years</t>
        </is>
      </c>
      <c r="C37" s="57" t="n">
        <v>5</v>
      </c>
      <c r="I37" s="10" t="inlineStr">
        <is>
          <t>FY2026E-FY2030E. Five years is long enough for the margin recovery to play out and short enough to stay credible.</t>
        </is>
      </c>
    </row>
    <row r="38">
      <c r="A38" s="6" t="inlineStr">
        <is>
          <t>Terminal growth rate (g)</t>
        </is>
      </c>
      <c r="B38" s="7" t="inlineStr">
        <is>
          <t>%</t>
        </is>
      </c>
      <c r="C38" s="58" t="n">
        <v>0.0225</v>
      </c>
      <c r="I38" s="10" t="inlineStr">
        <is>
          <t>2.25%, the midpoint of the 2.0-2.5% long-run U.S. nominal GDP / inflation anchor. Must be below WACC. A perpetual growth rate above nominal GDP would imply Chipotle eventually becomes the whole economy.</t>
        </is>
      </c>
    </row>
    <row r="39">
      <c r="A39" s="29" t="inlineStr">
        <is>
          <t>Check: is g below WACC? (required, or the model breaks)</t>
        </is>
      </c>
      <c r="B39" s="7" t="inlineStr"/>
      <c r="C39" s="59">
        <f>IF($C$38&lt;WACC!$C$28,"OK - g is below WACC","ERROR - g must be below WACC")</f>
        <v/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I4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  <col width="96" customWidth="1" min="9" max="9"/>
  </cols>
  <sheetData>
    <row r="1">
      <c r="A1" s="1" t="inlineStr">
        <is>
          <t>WACC - cost of capital via CAPM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CALC | Chipotle carries no financial debt, so WACC collapses to the cost of equity. Lease treatment is stated explicitly below.</t>
        </is>
      </c>
    </row>
    <row r="4">
      <c r="A4" s="4" t="inlineStr">
        <is>
          <t>COST OF EQUITY - CAPM:  Re = Rf + beta x ERP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14" t="inlineStr">
        <is>
          <t>Risk-free rate (Rf) - 10-year U.S. Treasury</t>
        </is>
      </c>
      <c r="B5" s="7" t="inlineStr">
        <is>
          <t>%</t>
        </is>
      </c>
      <c r="C5" s="60" t="n">
        <v>0.0478</v>
      </c>
      <c r="I5" s="10" t="inlineStr">
        <is>
          <t>U.S. Department of the Treasury, Daily Treasury Par Yield Curve Rates, 10-year constant maturity = 4.78% on 2026-09-04 (most recent published session). Retrieved 2026-09-06 from home.treasury.gov.</t>
        </is>
      </c>
    </row>
    <row r="6">
      <c r="A6" s="14" t="inlineStr">
        <is>
          <t>Levered beta (CMG)</t>
        </is>
      </c>
      <c r="B6" s="7" t="inlineStr">
        <is>
          <t>x</t>
        </is>
      </c>
      <c r="C6" s="61" t="n">
        <v>0.9399999999999999</v>
      </c>
      <c r="I6" s="10" t="inlineStr">
        <is>
          <t>stockanalysis.com/stocks/cmg/statistics/, 5-year monthly beta = 0.94; retrieved 2026-09-06. Because Chipotle carries no financial debt, its levered beta is effectively its unlevered beta - no re-levering is required.</t>
        </is>
      </c>
    </row>
    <row r="7">
      <c r="A7" s="14" t="inlineStr">
        <is>
          <t>Equity risk premium (ERP)</t>
        </is>
      </c>
      <c r="B7" s="7" t="inlineStr">
        <is>
          <t>%</t>
        </is>
      </c>
      <c r="C7" s="60" t="n">
        <v>0.05</v>
      </c>
      <c r="I7" s="10" t="inlineStr">
        <is>
          <t>5.0%, the low end of the 5.0-5.5% mature-market range commonly applied in practice. For reference, Damodaran's implied ERP for the S&amp;P 500 on 2026-09-01 was 4.14% (trailing 12-month, adjusted payout; pages.stern.nyu.edu/~adamodar, retrieved 2026-09-06). Using 4.14% would lower the cost of equity by ~81bps and raise the implied value materially - flagged in README 'Open Items'.</t>
        </is>
      </c>
    </row>
    <row r="8">
      <c r="A8" s="6" t="inlineStr">
        <is>
          <t>Cost of equity (Re)</t>
        </is>
      </c>
      <c r="B8" s="7" t="inlineStr">
        <is>
          <t>%</t>
        </is>
      </c>
      <c r="C8" s="62">
        <f>C5+C6*C7</f>
        <v/>
      </c>
      <c r="I8" s="10" t="inlineStr">
        <is>
          <t>Rf + beta x ERP.</t>
        </is>
      </c>
    </row>
    <row r="10">
      <c r="A10" s="4" t="inlineStr">
        <is>
          <t>COST OF DEBT AND CAPITAL STRUCTURE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20" t="inlineStr">
        <is>
          <t>CHIPOTLE HAS NO TRADITIONAL BORROWINGS. The FY2025 10-K (Note 12, Debt) discloses a $500.0m revolving credit facility with JPMorgan Chase that was UNDRAWN at 12/31/2025, and us-gaap:LongTermDebt is zero in every year FY2021-FY2025.</t>
        </is>
      </c>
    </row>
    <row r="12">
      <c r="A12" s="20" t="inlineStr">
        <is>
          <t>Because the debt weight is ~0%, WACC in this model APPROXIMATES THE COST OF EQUITY. No debt tranche has been fabricated to make the formula look fuller.</t>
        </is>
      </c>
    </row>
    <row r="13">
      <c r="A13" s="6" t="inlineStr">
        <is>
          <t>Total debt (D)</t>
        </is>
      </c>
      <c r="B13" s="7" t="inlineStr">
        <is>
          <t>$mm</t>
        </is>
      </c>
      <c r="C13" s="12">
        <f>Historicals!G70</f>
        <v/>
      </c>
      <c r="I13" s="10" t="inlineStr">
        <is>
          <t>Link to FY2025A total debt on the Historicals tab.</t>
        </is>
      </c>
    </row>
    <row r="14">
      <c r="A14" s="14" t="inlineStr">
        <is>
          <t>Pre-tax cost of debt (Rd) - illustrative</t>
        </is>
      </c>
      <c r="B14" s="7" t="inlineStr">
        <is>
          <t>%</t>
        </is>
      </c>
      <c r="C14" s="60" t="n">
        <v>0.0538</v>
      </c>
      <c r="I14" s="10" t="inlineStr">
        <is>
          <t>Illustrative only, and it carries zero weight in the WACC because debt is zero. Set at the drawn rate on the undrawn revolver: SOFR + 1.125% per FY2025 10-K Note 12, proxied here with the 10-year Treasury of 4.78% + 60bps.</t>
        </is>
      </c>
    </row>
    <row r="15">
      <c r="A15" s="14" t="inlineStr">
        <is>
          <t>Effective tax rate (t)</t>
        </is>
      </c>
      <c r="B15" s="7" t="inlineStr">
        <is>
          <t>%</t>
        </is>
      </c>
      <c r="C15" s="15">
        <f>Assumptions!C29</f>
        <v/>
      </c>
      <c r="I15" s="10" t="inlineStr">
        <is>
          <t>Link to the Assumptions tab.</t>
        </is>
      </c>
    </row>
    <row r="16">
      <c r="A16" s="14" t="inlineStr">
        <is>
          <t>After-tax cost of debt = Rd x (1 - t)</t>
        </is>
      </c>
      <c r="B16" s="7" t="inlineStr">
        <is>
          <t>%</t>
        </is>
      </c>
      <c r="C16" s="63">
        <f>C14*(1-C15)</f>
        <v/>
      </c>
    </row>
    <row r="18">
      <c r="A18" s="4" t="inlineStr">
        <is>
          <t>MARKET CAPITALISATION AND WEIGHTS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14" t="inlineStr">
        <is>
          <t>Current share price</t>
        </is>
      </c>
      <c r="B19" s="7" t="inlineStr">
        <is>
          <t>$</t>
        </is>
      </c>
      <c r="C19" s="64" t="n">
        <v>36.96</v>
      </c>
      <c r="I19" s="10" t="inlineStr">
        <is>
          <t>stockanalysis.com/stocks/cmg/, closing price 2026-09-04 (last completed session); retrieved 2026-09-06.</t>
        </is>
      </c>
    </row>
    <row r="20">
      <c r="A20" s="14" t="inlineStr">
        <is>
          <t>Shares outstanding at the valuation date</t>
        </is>
      </c>
      <c r="B20" s="7" t="inlineStr">
        <is>
          <t>mm</t>
        </is>
      </c>
      <c r="C20" s="42" t="n">
        <v>1302.423</v>
      </c>
      <c r="I20" s="10" t="inlineStr">
        <is>
          <t>FY2025 10-K cover page, dei:EntityCommonStockSharesOutstanding = 1,302,423,000 as of 2026-01-30 (the count closest to the 12/31/2025 valuation date). Post 50-for-1 split. The Q2 2026 10-Q cover reports 1,265,418,000 as of 2026-07-24 after further buybacks - see README 'Open Items'.</t>
        </is>
      </c>
    </row>
    <row r="21">
      <c r="A21" s="14" t="inlineStr">
        <is>
          <t>Dilution factor (diluted / basic)</t>
        </is>
      </c>
      <c r="B21" s="7" t="inlineStr">
        <is>
          <t>x</t>
        </is>
      </c>
      <c r="C21" s="65" t="n">
        <v>1.00395</v>
      </c>
      <c r="I21" s="10" t="inlineStr">
        <is>
          <t>FY2025 diluted weighted-average shares (1,342,616k) / basic weighted-average shares (1,337,336k) = 1.00395, per the FY2025 10-K income statement. Applied to shares outstanding to approximate a fully diluted count.</t>
        </is>
      </c>
    </row>
    <row r="22">
      <c r="A22" s="6" t="inlineStr">
        <is>
          <t>Diluted shares outstanding</t>
        </is>
      </c>
      <c r="B22" s="7" t="inlineStr">
        <is>
          <t>mm</t>
        </is>
      </c>
      <c r="C22" s="66">
        <f>C20*C21</f>
        <v/>
      </c>
      <c r="I22" s="10" t="inlineStr">
        <is>
          <t>Feeds the Valuation Bridge.</t>
        </is>
      </c>
    </row>
    <row r="23">
      <c r="A23" s="6" t="inlineStr">
        <is>
          <t>Equity market capitalisation (E)</t>
        </is>
      </c>
      <c r="B23" s="7" t="inlineStr">
        <is>
          <t>$mm</t>
        </is>
      </c>
      <c r="C23" s="32">
        <f>C19*C22</f>
        <v/>
      </c>
    </row>
    <row r="24">
      <c r="A24" s="14" t="inlineStr">
        <is>
          <t>Weight of equity  E / (D + E)</t>
        </is>
      </c>
      <c r="B24" s="7" t="inlineStr">
        <is>
          <t>%</t>
        </is>
      </c>
      <c r="C24" s="35">
        <f>C23/(C23+C13)</f>
        <v/>
      </c>
    </row>
    <row r="25">
      <c r="A25" s="14" t="inlineStr">
        <is>
          <t>Weight of debt  D / (D + E)</t>
        </is>
      </c>
      <c r="B25" s="7" t="inlineStr">
        <is>
          <t>%</t>
        </is>
      </c>
      <c r="C25" s="35">
        <f>C13/(C23+C13)</f>
        <v/>
      </c>
    </row>
    <row r="27">
      <c r="A27" s="4" t="inlineStr">
        <is>
          <t>WACC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6" t="inlineStr">
        <is>
          <t>WACC = E/(D+E) x Re + D/(D+E) x Rd x (1 - t)</t>
        </is>
      </c>
      <c r="B28" s="7" t="inlineStr">
        <is>
          <t>%</t>
        </is>
      </c>
      <c r="C28" s="62">
        <f>C24*C8+C25*C14*(1-C15)</f>
        <v/>
      </c>
    </row>
    <row r="29">
      <c r="A29" s="29" t="inlineStr">
        <is>
          <t>Does WACC equal the cost of equity?</t>
        </is>
      </c>
      <c r="B29" s="7" t="inlineStr"/>
      <c r="C29" s="67">
        <f>IF(ABS(C28-C8)&lt;0.0001,"Yes - debt weight is zero, so WACC = cost of equity","No - the company now carries debt")</f>
        <v/>
      </c>
    </row>
    <row r="31">
      <c r="A31" s="4" t="inlineStr">
        <is>
          <t>LEASE TREATMENT - STATED EXPLICITLY (this is a choice, and it must be consistent)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20" t="inlineStr">
        <is>
          <t>TREATMENT USED IN THIS MODEL: operating leases are an OPERATING EXPENSE.</t>
        </is>
      </c>
    </row>
    <row r="33">
      <c r="A33" s="20" t="inlineStr">
        <is>
          <t xml:space="preserve">  1. Occupancy cost stays inside EBIT (it is one of the four restaurant operating cost lines on the Historicals tab).</t>
        </is>
      </c>
    </row>
    <row r="34">
      <c r="A34" s="20" t="inlineStr">
        <is>
          <t xml:space="preserve">  2. Operating lease liabilities are therefore EXCLUDED from net debt in the Valuation Bridge.</t>
        </is>
      </c>
    </row>
    <row r="35">
      <c r="A35" s="20" t="inlineStr">
        <is>
          <t xml:space="preserve">  3. Because rent is never added back, the lease obligation is already captured in the cash flows being discounted. Deducting it again in the bridge would be double-counting.</t>
        </is>
      </c>
    </row>
    <row r="36">
      <c r="A36" s="29" t="inlineStr">
        <is>
          <t>Operating lease liabilities at FY2025A (EXCLUDED from net debt)</t>
        </is>
      </c>
      <c r="B36" s="7" t="inlineStr">
        <is>
          <t>$mm</t>
        </is>
      </c>
      <c r="C36" s="68">
        <f>Historicals!G74</f>
        <v/>
      </c>
      <c r="I36" s="10" t="inlineStr">
        <is>
          <t>Shown so the number is visible, not hidden. It is NOT deducted in the bridge.</t>
        </is>
      </c>
    </row>
    <row r="37">
      <c r="A37" s="20" t="inlineStr"/>
    </row>
    <row r="38">
      <c r="A38" s="20" t="inlineStr">
        <is>
          <t>THE ALTERNATIVE TREATMENT (know this for interviews): capitalise leases as debt.</t>
        </is>
      </c>
    </row>
    <row r="39">
      <c r="A39" s="20" t="inlineStr">
        <is>
          <t xml:space="preserve">  - Add rent expense back to EBIT, so EBIT and EBITDA rise.</t>
        </is>
      </c>
    </row>
    <row r="40">
      <c r="A40" s="20" t="inlineStr">
        <is>
          <t xml:space="preserve">  - Add a depreciation charge on the right-of-use asset and treat the interest component as financing.</t>
        </is>
      </c>
    </row>
    <row r="41">
      <c r="A41" s="20" t="inlineStr">
        <is>
          <t xml:space="preserve">  - Add the ~$5.1bn of lease liabilities to debt, which raises net debt and the debt weight in WACC.</t>
        </is>
      </c>
    </row>
    <row r="42">
      <c r="A42" s="20" t="inlineStr">
        <is>
          <t xml:space="preserve">  - Enterprise value rises, but so does the deduction in the bridge. Done correctly the two treatments should give a similar equity value - the error to avoid is a hybrid: keeping rent in EBIT AND deducting lease liabilities as debt, which double-counts and understates equity value by roughly $4/share here.</t>
        </is>
      </c>
    </row>
    <row r="44">
      <c r="A44" s="4" t="inlineStr">
        <is>
          <t>MEMO: WHERE CMG TRADES TODAY (used to ground the exit multiple cross-check)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6" t="inlineStr">
        <is>
          <t>Market enterprise value = market cap - cash and investments</t>
        </is>
      </c>
      <c r="B45" s="7" t="inlineStr">
        <is>
          <t>$mm</t>
        </is>
      </c>
      <c r="C45" s="12">
        <f>C23-Historicals!G69</f>
        <v/>
      </c>
      <c r="I45" s="10" t="inlineStr">
        <is>
          <t>Leases-as-opex basis, consistent with the rest of this model. Screeners that capitalise leases will show a materially higher EV.</t>
        </is>
      </c>
    </row>
    <row r="46">
      <c r="A46" s="14" t="inlineStr">
        <is>
          <t>FY2025A EBITDA</t>
        </is>
      </c>
      <c r="B46" s="7" t="inlineStr">
        <is>
          <t>$mm</t>
        </is>
      </c>
      <c r="C46" s="69">
        <f>Historicals!G21</f>
        <v/>
      </c>
    </row>
    <row r="47">
      <c r="A47" s="6" t="inlineStr">
        <is>
          <t>Current EV / LTM EBITDA</t>
        </is>
      </c>
      <c r="B47" s="7" t="inlineStr">
        <is>
          <t>x</t>
        </is>
      </c>
      <c r="C47" s="70">
        <f>C45/C46</f>
        <v/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I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  <col width="96" customWidth="1" min="9" max="9"/>
  </cols>
  <sheetData>
    <row r="1">
      <c r="A1" s="1" t="inlineStr">
        <is>
          <t>DCF - unlevered free cash flow, FY2026E to FY2030E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CALC | Revenue to UFCF to present value. Mid-year discounting convention is an explicit choice, set in a labelled input cell.</t>
        </is>
      </c>
    </row>
    <row r="4">
      <c r="A4" s="21" t="inlineStr"/>
      <c r="B4" s="22" t="inlineStr">
        <is>
          <t>Units</t>
        </is>
      </c>
      <c r="C4" s="23" t="inlineStr">
        <is>
          <t>FY2026E</t>
        </is>
      </c>
      <c r="D4" s="23" t="inlineStr">
        <is>
          <t>FY2027E</t>
        </is>
      </c>
      <c r="E4" s="23" t="inlineStr">
        <is>
          <t>FY2028E</t>
        </is>
      </c>
      <c r="F4" s="23" t="inlineStr">
        <is>
          <t>FY2029E</t>
        </is>
      </c>
      <c r="G4" s="23" t="inlineStr">
        <is>
          <t>FY2030E</t>
        </is>
      </c>
      <c r="I4" s="24" t="inlineStr">
        <is>
          <t>Source / note</t>
        </is>
      </c>
    </row>
    <row r="5">
      <c r="A5" s="4" t="inlineStr">
        <is>
          <t>UNLEVERED FREE CASH FLOW BUILD ($ in millions)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Revenue</t>
        </is>
      </c>
      <c r="B6" s="7" t="inlineStr">
        <is>
          <t>$mm</t>
        </is>
      </c>
      <c r="C6" s="12">
        <f>Assumptions!C18</f>
        <v/>
      </c>
      <c r="D6" s="12">
        <f>Assumptions!D18</f>
        <v/>
      </c>
      <c r="E6" s="12">
        <f>Assumptions!E18</f>
        <v/>
      </c>
      <c r="F6" s="12">
        <f>Assumptions!F18</f>
        <v/>
      </c>
      <c r="G6" s="12">
        <f>Assumptions!G18</f>
        <v/>
      </c>
      <c r="I6" s="10" t="inlineStr">
        <is>
          <t>Link to the Assumptions revenue build (average units x AUV).</t>
        </is>
      </c>
    </row>
    <row r="7">
      <c r="A7" s="14" t="inlineStr">
        <is>
          <t xml:space="preserve">    Revenue growth (YoY)</t>
        </is>
      </c>
      <c r="B7" s="7" t="inlineStr">
        <is>
          <t>%</t>
        </is>
      </c>
      <c r="C7" s="35">
        <f>C6/Historicals!G6-1</f>
        <v/>
      </c>
      <c r="D7" s="35">
        <f>D6/C6-1</f>
        <v/>
      </c>
      <c r="E7" s="35">
        <f>E6/D6-1</f>
        <v/>
      </c>
      <c r="F7" s="35">
        <f>F6/E6-1</f>
        <v/>
      </c>
      <c r="G7" s="35">
        <f>G6/F6-1</f>
        <v/>
      </c>
    </row>
    <row r="8">
      <c r="A8" s="14" t="inlineStr">
        <is>
          <t xml:space="preserve">    EBIT margin</t>
        </is>
      </c>
      <c r="B8" s="7" t="inlineStr">
        <is>
          <t>% rev</t>
        </is>
      </c>
      <c r="C8" s="15">
        <f>Assumptions!C25</f>
        <v/>
      </c>
      <c r="D8" s="15">
        <f>Assumptions!D25</f>
        <v/>
      </c>
      <c r="E8" s="15">
        <f>Assumptions!E25</f>
        <v/>
      </c>
      <c r="F8" s="15">
        <f>Assumptions!F25</f>
        <v/>
      </c>
      <c r="G8" s="15">
        <f>Assumptions!G25</f>
        <v/>
      </c>
    </row>
    <row r="9">
      <c r="A9" s="14" t="inlineStr">
        <is>
          <t>Less: operating costs (implied by the margin assumption)</t>
        </is>
      </c>
      <c r="B9" s="7" t="inlineStr">
        <is>
          <t>$mm</t>
        </is>
      </c>
      <c r="C9" s="39">
        <f>-C6*(1-C8)</f>
        <v/>
      </c>
      <c r="D9" s="39">
        <f>-D6*(1-D8)</f>
        <v/>
      </c>
      <c r="E9" s="39">
        <f>-E6*(1-E8)</f>
        <v/>
      </c>
      <c r="F9" s="39">
        <f>-F6*(1-F8)</f>
        <v/>
      </c>
      <c r="G9" s="39">
        <f>-G6*(1-G8)</f>
        <v/>
      </c>
      <c r="I9" s="10" t="inlineStr">
        <is>
          <t>Chipotle's cost structure is modelled at the EBIT-margin level rather than line by line; the Historicals tab shows every cost line as a % of revenue so the margin assumption is visibly grounded.</t>
        </is>
      </c>
    </row>
    <row r="10">
      <c r="A10" s="6" t="inlineStr">
        <is>
          <t>EBIT</t>
        </is>
      </c>
      <c r="B10" s="7" t="inlineStr">
        <is>
          <t>$mm</t>
        </is>
      </c>
      <c r="C10" s="28">
        <f>C6+C9</f>
        <v/>
      </c>
      <c r="D10" s="28">
        <f>D6+D9</f>
        <v/>
      </c>
      <c r="E10" s="28">
        <f>E6+E9</f>
        <v/>
      </c>
      <c r="F10" s="28">
        <f>F6+F9</f>
        <v/>
      </c>
      <c r="G10" s="28">
        <f>G6+G9</f>
        <v/>
      </c>
    </row>
    <row r="11">
      <c r="A11" s="14" t="inlineStr">
        <is>
          <t xml:space="preserve">    Effective tax rate</t>
        </is>
      </c>
      <c r="B11" s="7" t="inlineStr">
        <is>
          <t>%</t>
        </is>
      </c>
      <c r="C11" s="15">
        <f>Assumptions!$C$29</f>
        <v/>
      </c>
      <c r="D11" s="15">
        <f>Assumptions!$C$29</f>
        <v/>
      </c>
      <c r="E11" s="15">
        <f>Assumptions!$C$29</f>
        <v/>
      </c>
      <c r="F11" s="15">
        <f>Assumptions!$C$29</f>
        <v/>
      </c>
      <c r="G11" s="15">
        <f>Assumptions!$C$29</f>
        <v/>
      </c>
    </row>
    <row r="12">
      <c r="A12" s="14" t="inlineStr">
        <is>
          <t>Less: taxes on EBIT (unlevered)</t>
        </is>
      </c>
      <c r="B12" s="7" t="inlineStr">
        <is>
          <t>$mm</t>
        </is>
      </c>
      <c r="C12" s="39">
        <f>-C10*C11</f>
        <v/>
      </c>
      <c r="D12" s="39">
        <f>-D10*D11</f>
        <v/>
      </c>
      <c r="E12" s="39">
        <f>-E10*E11</f>
        <v/>
      </c>
      <c r="F12" s="39">
        <f>-F10*F11</f>
        <v/>
      </c>
      <c r="G12" s="39">
        <f>-G10*G11</f>
        <v/>
      </c>
      <c r="I12" s="10" t="inlineStr">
        <is>
          <t>Taxed on EBIT, not on pre-tax income - this is an UNLEVERED cash flow, so the interest tax shield is excluded (it lives in the WACC).</t>
        </is>
      </c>
    </row>
    <row r="13">
      <c r="A13" s="6" t="inlineStr">
        <is>
          <t>NOPAT</t>
        </is>
      </c>
      <c r="B13" s="7" t="inlineStr">
        <is>
          <t>$mm</t>
        </is>
      </c>
      <c r="C13" s="28">
        <f>C10+C12</f>
        <v/>
      </c>
      <c r="D13" s="28">
        <f>D10+D12</f>
        <v/>
      </c>
      <c r="E13" s="28">
        <f>E10+E12</f>
        <v/>
      </c>
      <c r="F13" s="28">
        <f>F10+F12</f>
        <v/>
      </c>
      <c r="G13" s="28">
        <f>G10+G12</f>
        <v/>
      </c>
    </row>
    <row r="14">
      <c r="A14" s="14" t="inlineStr">
        <is>
          <t xml:space="preserve">    D&amp;A as % of revenue</t>
        </is>
      </c>
      <c r="B14" s="7" t="inlineStr">
        <is>
          <t>% rev</t>
        </is>
      </c>
      <c r="C14" s="15">
        <f>Assumptions!C30</f>
        <v/>
      </c>
      <c r="D14" s="15">
        <f>Assumptions!D30</f>
        <v/>
      </c>
      <c r="E14" s="15">
        <f>Assumptions!E30</f>
        <v/>
      </c>
      <c r="F14" s="15">
        <f>Assumptions!F30</f>
        <v/>
      </c>
      <c r="G14" s="15">
        <f>Assumptions!G30</f>
        <v/>
      </c>
    </row>
    <row r="15">
      <c r="A15" s="14" t="inlineStr">
        <is>
          <t>Plus: depreciation and amortisation</t>
        </is>
      </c>
      <c r="B15" s="7" t="inlineStr">
        <is>
          <t>$mm</t>
        </is>
      </c>
      <c r="C15" s="39">
        <f>C6*C14</f>
        <v/>
      </c>
      <c r="D15" s="39">
        <f>D6*D14</f>
        <v/>
      </c>
      <c r="E15" s="39">
        <f>E6*E14</f>
        <v/>
      </c>
      <c r="F15" s="39">
        <f>F6*F14</f>
        <v/>
      </c>
      <c r="G15" s="39">
        <f>G6*G14</f>
        <v/>
      </c>
      <c r="I15" s="10" t="inlineStr">
        <is>
          <t>Non-cash charge added back.</t>
        </is>
      </c>
    </row>
    <row r="16">
      <c r="A16" s="14" t="inlineStr">
        <is>
          <t xml:space="preserve">    CapEx as % of revenue</t>
        </is>
      </c>
      <c r="B16" s="7" t="inlineStr">
        <is>
          <t>% rev</t>
        </is>
      </c>
      <c r="C16" s="15">
        <f>Assumptions!C31</f>
        <v/>
      </c>
      <c r="D16" s="15">
        <f>Assumptions!D31</f>
        <v/>
      </c>
      <c r="E16" s="15">
        <f>Assumptions!E31</f>
        <v/>
      </c>
      <c r="F16" s="15">
        <f>Assumptions!F31</f>
        <v/>
      </c>
      <c r="G16" s="15">
        <f>Assumptions!G31</f>
        <v/>
      </c>
    </row>
    <row r="17">
      <c r="A17" s="14" t="inlineStr">
        <is>
          <t>Less: capital expenditures</t>
        </is>
      </c>
      <c r="B17" s="7" t="inlineStr">
        <is>
          <t>$mm</t>
        </is>
      </c>
      <c r="C17" s="39">
        <f>-C6*C16</f>
        <v/>
      </c>
      <c r="D17" s="39">
        <f>-D6*D16</f>
        <v/>
      </c>
      <c r="E17" s="39">
        <f>-E6*E16</f>
        <v/>
      </c>
      <c r="F17" s="39">
        <f>-F6*F16</f>
        <v/>
      </c>
      <c r="G17" s="39">
        <f>-G6*G16</f>
        <v/>
      </c>
      <c r="I17" s="10" t="inlineStr">
        <is>
          <t>New-unit construction plus maintenance and technology capex.</t>
        </is>
      </c>
    </row>
    <row r="18">
      <c r="A18" s="29" t="inlineStr">
        <is>
          <t xml:space="preserve">    Memo: change in revenue</t>
        </is>
      </c>
      <c r="B18" s="7" t="inlineStr">
        <is>
          <t>$mm</t>
        </is>
      </c>
      <c r="C18" s="31">
        <f>C6-Historicals!G6</f>
        <v/>
      </c>
      <c r="D18" s="31">
        <f>D6-C6</f>
        <v/>
      </c>
      <c r="E18" s="31">
        <f>E6-D6</f>
        <v/>
      </c>
      <c r="F18" s="31">
        <f>F6-E6</f>
        <v/>
      </c>
      <c r="G18" s="31">
        <f>G6-F6</f>
        <v/>
      </c>
    </row>
    <row r="19">
      <c r="A19" s="14" t="inlineStr">
        <is>
          <t xml:space="preserve">    Change in NWC as % of change in revenue (+ = source)</t>
        </is>
      </c>
      <c r="B19" s="7" t="inlineStr">
        <is>
          <t>%</t>
        </is>
      </c>
      <c r="C19" s="15">
        <f>Assumptions!$C$33</f>
        <v/>
      </c>
      <c r="D19" s="15">
        <f>Assumptions!$C$33</f>
        <v/>
      </c>
      <c r="E19" s="15">
        <f>Assumptions!$C$33</f>
        <v/>
      </c>
      <c r="F19" s="15">
        <f>Assumptions!$C$33</f>
        <v/>
      </c>
      <c r="G19" s="15">
        <f>Assumptions!$C$33</f>
        <v/>
      </c>
    </row>
    <row r="20">
      <c r="A20" s="14" t="inlineStr">
        <is>
          <t>Plus / (less): change in net working capital</t>
        </is>
      </c>
      <c r="B20" s="7" t="inlineStr">
        <is>
          <t>$mm</t>
        </is>
      </c>
      <c r="C20" s="39">
        <f>C18*C19</f>
        <v/>
      </c>
      <c r="D20" s="39">
        <f>D18*D19</f>
        <v/>
      </c>
      <c r="E20" s="39">
        <f>E18*E19</f>
        <v/>
      </c>
      <c r="F20" s="39">
        <f>F18*F19</f>
        <v/>
      </c>
      <c r="G20" s="39">
        <f>G18*G19</f>
        <v/>
      </c>
      <c r="I20" s="10" t="inlineStr">
        <is>
          <t>POSITIVE here means working capital RELEASES cash. Chipotle runs negative working capital, so growth is a small source of cash, not a use. The sign is modelled as it actually behaves rather than assumed to be an outflow.</t>
        </is>
      </c>
    </row>
    <row r="21">
      <c r="A21" s="6" t="inlineStr">
        <is>
          <t>UNLEVERED FREE CASH FLOW</t>
        </is>
      </c>
      <c r="B21" s="7" t="inlineStr">
        <is>
          <t>$mm</t>
        </is>
      </c>
      <c r="C21" s="71">
        <f>C13+C15+C17+C20</f>
        <v/>
      </c>
      <c r="D21" s="71">
        <f>D13+D15+D17+D20</f>
        <v/>
      </c>
      <c r="E21" s="71">
        <f>E13+E15+E17+E20</f>
        <v/>
      </c>
      <c r="F21" s="71">
        <f>F13+F15+F17+F20</f>
        <v/>
      </c>
      <c r="G21" s="71">
        <f>G13+G15+G17+G20</f>
        <v/>
      </c>
    </row>
    <row r="22">
      <c r="A22" s="14" t="inlineStr">
        <is>
          <t xml:space="preserve">    UFCF margin</t>
        </is>
      </c>
      <c r="B22" s="7" t="inlineStr">
        <is>
          <t>% rev</t>
        </is>
      </c>
      <c r="C22" s="35">
        <f>C21/C6</f>
        <v/>
      </c>
      <c r="D22" s="35">
        <f>D21/D6</f>
        <v/>
      </c>
      <c r="E22" s="35">
        <f>E21/E6</f>
        <v/>
      </c>
      <c r="F22" s="35">
        <f>F21/F6</f>
        <v/>
      </c>
      <c r="G22" s="35">
        <f>G21/G6</f>
        <v/>
      </c>
    </row>
    <row r="23">
      <c r="A23" s="29" t="inlineStr">
        <is>
          <t xml:space="preserve">    Memo: EBITDA (EBIT + D&amp;A)</t>
        </is>
      </c>
      <c r="B23" s="7" t="inlineStr">
        <is>
          <t>$mm</t>
        </is>
      </c>
      <c r="C23" s="31">
        <f>C10+C15</f>
        <v/>
      </c>
      <c r="D23" s="31">
        <f>D10+D15</f>
        <v/>
      </c>
      <c r="E23" s="31">
        <f>E10+E15</f>
        <v/>
      </c>
      <c r="F23" s="31">
        <f>F10+F15</f>
        <v/>
      </c>
      <c r="G23" s="31">
        <f>G10+G15</f>
        <v/>
      </c>
      <c r="I23" s="10" t="inlineStr">
        <is>
          <t>Used by the exit-multiple cross-check on the Terminal Value tab.</t>
        </is>
      </c>
    </row>
    <row r="25">
      <c r="A25" s="4" t="inlineStr">
        <is>
          <t>DISCOUNTING - MID-YEAR CONVENTION (an explicit choice, not a default)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</row>
    <row r="26">
      <c r="A26" s="20" t="inlineStr">
        <is>
          <t>Cash flows are assumed to arrive evenly through the year rather than in a lump on 31 December, so each year is discounted from its midpoint: n = 0.5, 1.5, 2.5, 3.5, 4.5. State the convention out loud in an interview - assessors look for it.</t>
        </is>
      </c>
    </row>
    <row r="27">
      <c r="A27" s="20" t="inlineStr">
        <is>
          <t>Worth knowing the magnitude: mid-year on the explicit cash flows alone is worth only +0.9% here ($20.12 vs $19.93), NOT the 4-5% usually quoted, because 78% of the value sits in the terminal value - which is discounted a full five periods either way. Moving the terminal value to n = 4.5 as well is worth a further +3.4%.</t>
        </is>
      </c>
    </row>
    <row r="28">
      <c r="A28" s="14" t="inlineStr">
        <is>
          <t>Mid-year convention offset</t>
        </is>
      </c>
      <c r="B28" s="7" t="inlineStr">
        <is>
          <t>years</t>
        </is>
      </c>
      <c r="C28" s="72" t="n">
        <v>0.5</v>
      </c>
      <c r="I28" s="10" t="inlineStr">
        <is>
          <t>Set to 0.0 to switch the whole model to year-end discounting.</t>
        </is>
      </c>
    </row>
    <row r="29">
      <c r="A29" s="14" t="inlineStr">
        <is>
          <t>Discount period (n)</t>
        </is>
      </c>
      <c r="B29" s="7" t="inlineStr">
        <is>
          <t>years</t>
        </is>
      </c>
      <c r="C29" s="73">
        <f>1-$C$28</f>
        <v/>
      </c>
      <c r="D29" s="73">
        <f>2-$C$28</f>
        <v/>
      </c>
      <c r="E29" s="73">
        <f>3-$C$28</f>
        <v/>
      </c>
      <c r="F29" s="73">
        <f>4-$C$28</f>
        <v/>
      </c>
      <c r="G29" s="73">
        <f>5-$C$28</f>
        <v/>
      </c>
    </row>
    <row r="30">
      <c r="A30" s="6" t="inlineStr">
        <is>
          <t>WACC</t>
        </is>
      </c>
      <c r="B30" s="7" t="inlineStr">
        <is>
          <t>%</t>
        </is>
      </c>
      <c r="C30" s="17">
        <f>WACC!C28</f>
        <v/>
      </c>
    </row>
    <row r="31">
      <c r="A31" s="14" t="inlineStr">
        <is>
          <t>Discount factor = 1 / (1 + WACC) ^ n</t>
        </is>
      </c>
      <c r="B31" s="7" t="inlineStr">
        <is>
          <t>x</t>
        </is>
      </c>
      <c r="C31" s="74">
        <f>1/(1+$C$30)^C29</f>
        <v/>
      </c>
      <c r="D31" s="74">
        <f>1/(1+$C$30)^D29</f>
        <v/>
      </c>
      <c r="E31" s="74">
        <f>1/(1+$C$30)^E29</f>
        <v/>
      </c>
      <c r="F31" s="74">
        <f>1/(1+$C$30)^F29</f>
        <v/>
      </c>
      <c r="G31" s="74">
        <f>1/(1+$C$30)^G29</f>
        <v/>
      </c>
    </row>
    <row r="32">
      <c r="A32" s="6" t="inlineStr">
        <is>
          <t>Present value of UFCF</t>
        </is>
      </c>
      <c r="B32" s="7" t="inlineStr">
        <is>
          <t>$mm</t>
        </is>
      </c>
      <c r="C32" s="28">
        <f>C21*C31</f>
        <v/>
      </c>
      <c r="D32" s="28">
        <f>D21*D31</f>
        <v/>
      </c>
      <c r="E32" s="28">
        <f>E21*E31</f>
        <v/>
      </c>
      <c r="F32" s="28">
        <f>F21*F31</f>
        <v/>
      </c>
      <c r="G32" s="28">
        <f>G21*G31</f>
        <v/>
      </c>
    </row>
    <row r="33">
      <c r="A33" s="6" t="inlineStr">
        <is>
          <t>Sum of PV of forecast UFCF (FY2026E-FY2030E)</t>
        </is>
      </c>
      <c r="B33" s="7" t="inlineStr">
        <is>
          <t>$mm</t>
        </is>
      </c>
      <c r="C33" s="75">
        <f>SUM(C32:G32)</f>
        <v/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I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" customWidth="1" min="8" max="8"/>
    <col width="96" customWidth="1" min="9" max="9"/>
  </cols>
  <sheetData>
    <row r="1">
      <c r="A1" s="1" t="inlineStr">
        <is>
          <t>TERMINAL VALUE - Gordon Growth, cross-checked against an exit multiple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CALC | Primary method is Gordon Growth on a normalised terminal cash flow. The exit-multiple cross-check and the two implied-value checks are shown alongside.</t>
        </is>
      </c>
    </row>
    <row r="4">
      <c r="A4" s="4" t="inlineStr">
        <is>
          <t>INPUTS CARRIED IN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6" t="inlineStr">
        <is>
          <t>WACC</t>
        </is>
      </c>
      <c r="B5" s="7" t="inlineStr">
        <is>
          <t>%</t>
        </is>
      </c>
      <c r="C5" s="17">
        <f>WACC!C28</f>
        <v/>
      </c>
    </row>
    <row r="6">
      <c r="A6" s="6" t="inlineStr">
        <is>
          <t>Terminal growth rate (g)</t>
        </is>
      </c>
      <c r="B6" s="7" t="inlineStr">
        <is>
          <t>%</t>
        </is>
      </c>
      <c r="C6" s="17">
        <f>Assumptions!C38</f>
        <v/>
      </c>
    </row>
    <row r="7">
      <c r="A7" s="14" t="inlineStr">
        <is>
          <t>Spread (WACC - g)</t>
        </is>
      </c>
      <c r="B7" s="7" t="inlineStr">
        <is>
          <t>%</t>
        </is>
      </c>
      <c r="C7" s="63">
        <f>C5-C6</f>
        <v/>
      </c>
      <c r="I7" s="10" t="inlineStr">
        <is>
          <t>If this is not comfortably positive the Gordon Growth formula is meaningless.</t>
        </is>
      </c>
    </row>
    <row r="8">
      <c r="A8" s="14" t="inlineStr">
        <is>
          <t>FY2030E revenue</t>
        </is>
      </c>
      <c r="B8" s="7" t="inlineStr">
        <is>
          <t>$mm</t>
        </is>
      </c>
      <c r="C8" s="69">
        <f>DCF!G6</f>
        <v/>
      </c>
    </row>
    <row r="9">
      <c r="A9" s="14" t="inlineStr">
        <is>
          <t>FY2030E NOPAT</t>
        </is>
      </c>
      <c r="B9" s="7" t="inlineStr">
        <is>
          <t>$mm</t>
        </is>
      </c>
      <c r="C9" s="69">
        <f>DCF!G13</f>
        <v/>
      </c>
    </row>
    <row r="10">
      <c r="A10" s="14" t="inlineStr">
        <is>
          <t>FY2030E D&amp;A</t>
        </is>
      </c>
      <c r="B10" s="7" t="inlineStr">
        <is>
          <t>$mm</t>
        </is>
      </c>
      <c r="C10" s="69">
        <f>DCF!G15</f>
        <v/>
      </c>
    </row>
    <row r="11">
      <c r="A11" s="14" t="inlineStr">
        <is>
          <t>FY2030E capital expenditures</t>
        </is>
      </c>
      <c r="B11" s="7" t="inlineStr">
        <is>
          <t>$mm</t>
        </is>
      </c>
      <c r="C11" s="69">
        <f>DCF!G17</f>
        <v/>
      </c>
      <c r="I11" s="10" t="inlineStr">
        <is>
          <t>Negative, as presented on the DCF tab.</t>
        </is>
      </c>
    </row>
    <row r="12">
      <c r="A12" s="14" t="inlineStr">
        <is>
          <t>FY2030E change in net working capital</t>
        </is>
      </c>
      <c r="B12" s="7" t="inlineStr">
        <is>
          <t>$mm</t>
        </is>
      </c>
      <c r="C12" s="69">
        <f>DCF!G20</f>
        <v/>
      </c>
    </row>
    <row r="13">
      <c r="A13" s="6" t="inlineStr">
        <is>
          <t>FY2030E unlevered free cash flow (as forecast)</t>
        </is>
      </c>
      <c r="B13" s="7" t="inlineStr">
        <is>
          <t>$mm</t>
        </is>
      </c>
      <c r="C13" s="12">
        <f>DCF!G21</f>
        <v/>
      </c>
    </row>
    <row r="14">
      <c r="A14" s="14" t="inlineStr">
        <is>
          <t>FY2030E EBITDA</t>
        </is>
      </c>
      <c r="B14" s="7" t="inlineStr">
        <is>
          <t>$mm</t>
        </is>
      </c>
      <c r="C14" s="69">
        <f>DCF!G23</f>
        <v/>
      </c>
    </row>
    <row r="16">
      <c r="A16" s="4" t="inlineStr">
        <is>
          <t>TERMINAL-YEAR NORMALISATION (why the raw year-5 cash flow cannot be used)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20" t="inlineStr">
        <is>
          <t>FY2030E capex is 5.6% of revenue because the company is still opening ~370 restaurants a year. A perpetuity growing at 2.25% cannot also be spending at a 7%-unit-growth rate. Capex is therefore normalised to maintenance (= D&amp;A) plus the growth capital needed to sustain 2.25% growth. Without this the terminal value is understated. Both versions are shown below.</t>
        </is>
      </c>
    </row>
    <row r="18">
      <c r="A18" s="14" t="inlineStr">
        <is>
          <t>Normalised terminal capex as % of revenue</t>
        </is>
      </c>
      <c r="B18" s="7" t="inlineStr">
        <is>
          <t>% rev</t>
        </is>
      </c>
      <c r="C18" s="33" t="n">
        <v>0.038</v>
      </c>
      <c r="I18" s="10" t="inlineStr">
        <is>
          <t>Terminal-year normalisation. Year-5 capex of 5.6% of revenue supports ~7% unit growth and is inconsistent with a 2.25% perpetuity. Normalised to 3.8% = D&amp;A of 3.1% of revenue (maintenance) plus ~0.7% of growth capital to sustain 2.25% growth. Without this adjustment the terminal value is understated. The unadjusted figure is shown alongside it on the Terminal Value tab.</t>
        </is>
      </c>
    </row>
    <row r="19">
      <c r="A19" s="14" t="inlineStr">
        <is>
          <t>Normalised terminal capex</t>
        </is>
      </c>
      <c r="B19" s="7" t="inlineStr">
        <is>
          <t>$mm</t>
        </is>
      </c>
      <c r="C19" s="39">
        <f>-C8*C18</f>
        <v/>
      </c>
    </row>
    <row r="20">
      <c r="A20" s="6" t="inlineStr">
        <is>
          <t>NORMALISED TERMINAL UFCF</t>
        </is>
      </c>
      <c r="B20" s="7" t="inlineStr">
        <is>
          <t>$mm</t>
        </is>
      </c>
      <c r="C20" s="53">
        <f>C9+C10+C19+C12</f>
        <v/>
      </c>
      <c r="I20" s="10" t="inlineStr">
        <is>
          <t>NOPAT + D&amp;A - normalised capex +/- change in NWC. This is the cash flow the Gordon Growth formula is applied to.</t>
        </is>
      </c>
    </row>
    <row r="22">
      <c r="A22" s="4" t="inlineStr">
        <is>
          <t>METHOD 1 (PRIMARY): GORDON GROWTH  -  TV = FCF x (1 + g) / (WACC - g)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6" t="inlineStr">
        <is>
          <t>Terminal value (Gordon Growth, normalised FCF)</t>
        </is>
      </c>
      <c r="B23" s="7" t="inlineStr">
        <is>
          <t>$mm</t>
        </is>
      </c>
      <c r="C23" s="75">
        <f>C20*(1+C6)/(C5-C6)</f>
        <v/>
      </c>
    </row>
    <row r="24">
      <c r="A24" s="29" t="inlineStr">
        <is>
          <t>Memo: same formula on the UNadjusted FY2030E UFCF</t>
        </is>
      </c>
      <c r="B24" s="7" t="inlineStr">
        <is>
          <t>$mm</t>
        </is>
      </c>
      <c r="C24" s="31">
        <f>C13*(1+C6)/(C5-C6)</f>
        <v/>
      </c>
      <c r="I24" s="10" t="inlineStr">
        <is>
          <t>Shown for transparency. Lower, because it perpetuates growth-stage capex.</t>
        </is>
      </c>
    </row>
    <row r="26">
      <c r="A26" s="4" t="inlineStr">
        <is>
          <t>METHOD 2 (CROSS-CHECK): EXIT MULTIPLE  -  TV = FY2030E EBITDA x exit EV/EBITDA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14" t="inlineStr">
        <is>
          <t>Exit EV / EBITDA multiple</t>
        </is>
      </c>
      <c r="B27" s="7" t="inlineStr">
        <is>
          <t>x</t>
        </is>
      </c>
      <c r="C27" s="76" t="n">
        <v>18</v>
      </c>
      <c r="I27" s="10" t="inlineStr">
        <is>
          <t>Cross-check only. CMG currently trades at ~19.8x LTM EV/EBITDA on a leases-as-opex basis (EV of $45.5bn / FY2025 EBITDA of $2,297m; see the WACC and Terminal Value tabs where this is computed from market inputs). 18.0x applies a modest discount for multiple compression as unit growth decelerates.</t>
        </is>
      </c>
    </row>
    <row r="28">
      <c r="A28" s="29" t="inlineStr">
        <is>
          <t>Memo: CMG's current EV / LTM EBITDA</t>
        </is>
      </c>
      <c r="B28" s="7" t="inlineStr">
        <is>
          <t>x</t>
        </is>
      </c>
      <c r="C28" s="77">
        <f>WACC!C47</f>
        <v/>
      </c>
      <c r="I28" s="10" t="inlineStr">
        <is>
          <t>Computed on the WACC tab from the current market cap and FY2025A EBITDA, leases-as-opex basis.</t>
        </is>
      </c>
    </row>
    <row r="29">
      <c r="A29" s="6" t="inlineStr">
        <is>
          <t>Terminal value (exit multiple)</t>
        </is>
      </c>
      <c r="B29" s="7" t="inlineStr">
        <is>
          <t>$mm</t>
        </is>
      </c>
      <c r="C29" s="32">
        <f>C14*C27</f>
        <v/>
      </c>
    </row>
    <row r="31">
      <c r="A31" s="4" t="inlineStr">
        <is>
          <t>THE TWO CROSS-CHECKS THAT MATTER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6" t="inlineStr">
        <is>
          <t>Implied exit EV/EBITDA from the Gordon Growth TV</t>
        </is>
      </c>
      <c r="B32" s="7" t="inlineStr">
        <is>
          <t>x</t>
        </is>
      </c>
      <c r="C32" s="78">
        <f>C23/C14</f>
        <v/>
      </c>
      <c r="I32" s="10" t="inlineStr">
        <is>
          <t>Gordon Growth terminal value divided by FY2030E EBITDA.</t>
        </is>
      </c>
    </row>
    <row r="33">
      <c r="A33" s="29" t="inlineStr">
        <is>
          <t xml:space="preserve">  Flag</t>
        </is>
      </c>
      <c r="B33" s="7" t="inlineStr"/>
      <c r="C33" s="67">
        <f>IF(C32&lt;10,"FLAG - below 10x. A GDP-anchored perpetuity implies a far lower exit multiple than CMG's current "&amp;TEXT(C28,"0.0")&amp;"x. Either the market is embedding growth well above GDP, or this WACC is too high.",IF(C32&gt;25,"FLAG - above 25x, implausibly rich for a terminal multiple.","Reasonable - within the 10x-25x range for a mature restaurant operator."))</f>
        <v/>
      </c>
    </row>
    <row r="34">
      <c r="A34" s="6" t="inlineStr">
        <is>
          <t>Implied perpetuity growth from the exit-multiple TV</t>
        </is>
      </c>
      <c r="B34" s="7" t="inlineStr">
        <is>
          <t>%</t>
        </is>
      </c>
      <c r="C34" s="79">
        <f>(C29*C5-C20)/(C29+C20)</f>
        <v/>
      </c>
      <c r="I34" s="10" t="inlineStr">
        <is>
          <t>Solves TV = FCF x (1+g) / (WACC - g) for g, holding the normalised terminal FCF constant.</t>
        </is>
      </c>
    </row>
    <row r="35">
      <c r="A35" s="29" t="inlineStr">
        <is>
          <t xml:space="preserve">  Flag</t>
        </is>
      </c>
      <c r="B35" s="7" t="inlineStr"/>
      <c r="C35" s="67">
        <f>IF(C34&gt;0.03,"FLAG - implies perpetual growth above ~3% nominal GDP, which is not sustainable. The exit multiple is doing the work, not the fundamentals.",IF(C34&lt;0,"FLAG - implies perpetual decline.","Reasonable - consistent with long-run nominal GDP."))</f>
        <v/>
      </c>
    </row>
    <row r="36">
      <c r="A36" s="20" t="inlineStr">
        <is>
          <t>Interpretation: when these two checks disagree sharply, that IS the finding. The Gordon Growth answer says what the business is worth on GDP-anchored fundamentals; the exit multiple says what the market is currently willing to pay. The gap is the growth premium embedded in the share price.</t>
        </is>
      </c>
    </row>
    <row r="38">
      <c r="A38" s="4" t="inlineStr">
        <is>
          <t>DISCOUNTING THE TERMINAL VALUE TO PRESENT VALUE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14" t="inlineStr">
        <is>
          <t>Terminal value discount period (n)</t>
        </is>
      </c>
      <c r="B39" s="7" t="inlineStr">
        <is>
          <t>years</t>
        </is>
      </c>
      <c r="C39" s="72" t="n">
        <v>5</v>
      </c>
      <c r="I39" s="10" t="inlineStr">
        <is>
          <t>Terminal value is a year-5 year-END value, so it is discounted a full 5.0 periods even though the explicit cash flows use mid-year convention. Some practitioners use 4.5 for internal consistency with mid-year; that convention would raise the implied share price by 3.4% ($20.81 versus $20.12).</t>
        </is>
      </c>
    </row>
    <row r="40">
      <c r="A40" s="14" t="inlineStr">
        <is>
          <t>Discount factor = 1 / (1 + WACC) ^ n</t>
        </is>
      </c>
      <c r="B40" s="7" t="inlineStr">
        <is>
          <t>x</t>
        </is>
      </c>
      <c r="C40" s="74">
        <f>1/(1+C5)^C39</f>
        <v/>
      </c>
    </row>
    <row r="41">
      <c r="A41" s="6" t="inlineStr">
        <is>
          <t>PRESENT VALUE OF TERMINAL VALUE</t>
        </is>
      </c>
      <c r="B41" s="7" t="inlineStr">
        <is>
          <t>$mm</t>
        </is>
      </c>
      <c r="C41" s="53">
        <f>C23*C40</f>
        <v/>
      </c>
    </row>
    <row r="42">
      <c r="A42" s="29" t="inlineStr">
        <is>
          <t>Memo: PV of the exit-multiple terminal value</t>
        </is>
      </c>
      <c r="B42" s="7" t="inlineStr">
        <is>
          <t>$mm</t>
        </is>
      </c>
      <c r="C42" s="31">
        <f>C29*C40</f>
        <v/>
      </c>
    </row>
    <row r="44">
      <c r="A44" s="4" t="inlineStr">
        <is>
          <t>HOW MUCH OF THE VALUE IS TERMINAL?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14" t="inlineStr">
        <is>
          <t>Sum of PV of forecast UFCF</t>
        </is>
      </c>
      <c r="B45" s="7" t="inlineStr">
        <is>
          <t>$mm</t>
        </is>
      </c>
      <c r="C45" s="69">
        <f>DCF!C33</f>
        <v/>
      </c>
    </row>
    <row r="46">
      <c r="A46" s="6" t="inlineStr">
        <is>
          <t>Enterprise value</t>
        </is>
      </c>
      <c r="B46" s="7" t="inlineStr">
        <is>
          <t>$mm</t>
        </is>
      </c>
      <c r="C46" s="32">
        <f>C45+C41</f>
        <v/>
      </c>
    </row>
    <row r="47">
      <c r="A47" s="6" t="inlineStr">
        <is>
          <t>Terminal value as % of enterprise value</t>
        </is>
      </c>
      <c r="B47" s="7" t="inlineStr">
        <is>
          <t>%</t>
        </is>
      </c>
      <c r="C47" s="80">
        <f>C41/C46</f>
        <v/>
      </c>
    </row>
    <row r="48">
      <c r="A48" s="29" t="inlineStr">
        <is>
          <t xml:space="preserve">  Flag</t>
        </is>
      </c>
      <c r="B48" s="7" t="inlineStr"/>
      <c r="C48" s="67">
        <f>IF(C47&gt;0.75,"FLAG - above 75%. Most of the value sits beyond the forecast window, so the answer is driven by WACC and g rather than by the five years of cash flow. Normal for a growth company; disclosed as a model limitation in the README.","Below 75% - the explicit forecast carries most of the value.")</f>
        <v/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  <col width="96" customWidth="1" min="9" max="9"/>
  </cols>
  <sheetData>
    <row r="1">
      <c r="A1" s="1" t="inlineStr">
        <is>
          <t>VALUATION BRIDGE - enterprise value to implied share price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OUTPUT | Sum of PV of forecast UFCF, plus PV of terminal value, less net debt, divided by diluted shares.</t>
        </is>
      </c>
    </row>
    <row r="4">
      <c r="A4" s="4" t="inlineStr">
        <is>
          <t>ENTERPRISE VALUE TO IMPLIED SHARE PRICE ($ in millions, except per-share)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14" t="inlineStr">
        <is>
          <t>Sum of PV of forecast UFCF (FY2026E-FY2030E)</t>
        </is>
      </c>
      <c r="B5" s="7" t="inlineStr">
        <is>
          <t>$mm</t>
        </is>
      </c>
      <c r="C5" s="69">
        <f>DCF!C33</f>
        <v/>
      </c>
    </row>
    <row r="6">
      <c r="A6" s="14" t="inlineStr">
        <is>
          <t>Plus: PV of terminal value</t>
        </is>
      </c>
      <c r="B6" s="7" t="inlineStr">
        <is>
          <t>$mm</t>
        </is>
      </c>
      <c r="C6" s="69">
        <f>'Terminal Value'!C41</f>
        <v/>
      </c>
    </row>
    <row r="7">
      <c r="A7" s="6" t="inlineStr">
        <is>
          <t>ENTERPRISE VALUE</t>
        </is>
      </c>
      <c r="B7" s="7" t="inlineStr">
        <is>
          <t>$mm</t>
        </is>
      </c>
      <c r="C7" s="53">
        <f>C5+C6</f>
        <v/>
      </c>
    </row>
    <row r="8">
      <c r="A8" s="14" t="inlineStr">
        <is>
          <t>Less: total debt</t>
        </is>
      </c>
      <c r="B8" s="7" t="inlineStr">
        <is>
          <t>$mm</t>
        </is>
      </c>
      <c r="C8" s="69">
        <f>-Historicals!G70</f>
        <v/>
      </c>
      <c r="I8" s="10" t="inlineStr">
        <is>
          <t>Zero. Chipotle's only facility is a $500m undrawn revolver (FY2025 10-K Note 12).</t>
        </is>
      </c>
    </row>
    <row r="9">
      <c r="A9" s="14" t="inlineStr">
        <is>
          <t>Plus: cash and investments</t>
        </is>
      </c>
      <c r="B9" s="7" t="inlineStr">
        <is>
          <t>$mm</t>
        </is>
      </c>
      <c r="C9" s="69">
        <f>Historicals!G69</f>
        <v/>
      </c>
      <c r="I9" s="10" t="inlineStr">
        <is>
          <t>Cash and cash equivalents + short-term investments + long-term investments at 12/31/2025. Excludes $35.4m of restricted cash.</t>
        </is>
      </c>
    </row>
    <row r="10">
      <c r="A10" s="29" t="inlineStr">
        <is>
          <t>Operating lease liabilities are NOT deducted</t>
        </is>
      </c>
      <c r="B10" s="7" t="inlineStr"/>
      <c r="C10" s="67" t="inlineStr">
        <is>
          <t>Leases are treated as an operating expense, so occupancy cost is already inside EBIT. See the WACC tab.</t>
        </is>
      </c>
    </row>
    <row r="11">
      <c r="A11" s="6" t="inlineStr">
        <is>
          <t>EQUITY VALUE</t>
        </is>
      </c>
      <c r="B11" s="7" t="inlineStr">
        <is>
          <t>$mm</t>
        </is>
      </c>
      <c r="C11" s="53">
        <f>C7+C8+C9</f>
        <v/>
      </c>
    </row>
    <row r="12">
      <c r="A12" s="14" t="inlineStr">
        <is>
          <t>Diluted shares outstanding</t>
        </is>
      </c>
      <c r="B12" s="7" t="inlineStr">
        <is>
          <t>mm</t>
        </is>
      </c>
      <c r="C12" s="16">
        <f>WACC!C22</f>
        <v/>
      </c>
    </row>
    <row r="13">
      <c r="A13" s="6" t="inlineStr">
        <is>
          <t>IMPLIED SHARE PRICE</t>
        </is>
      </c>
      <c r="B13" s="7" t="inlineStr">
        <is>
          <t>$</t>
        </is>
      </c>
      <c r="C13" s="81">
        <f>C11/C12</f>
        <v/>
      </c>
    </row>
    <row r="15">
      <c r="A15" s="4" t="inlineStr">
        <is>
          <t>VERSUS THE MARKET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</row>
    <row r="16">
      <c r="A16" s="14" t="inlineStr">
        <is>
          <t>Current market price</t>
        </is>
      </c>
      <c r="B16" s="7" t="inlineStr">
        <is>
          <t>$</t>
        </is>
      </c>
      <c r="C16" s="82">
        <f>WACC!C19</f>
        <v/>
      </c>
      <c r="I16" s="10" t="inlineStr">
        <is>
          <t>stockanalysis.com/stocks/cmg/, closing price 2026-09-04 (last completed session); retrieved 2026-09-06.</t>
        </is>
      </c>
    </row>
    <row r="17">
      <c r="A17" s="6" t="inlineStr">
        <is>
          <t>Implied upside / (downside)</t>
        </is>
      </c>
      <c r="B17" s="7" t="inlineStr">
        <is>
          <t>%</t>
        </is>
      </c>
      <c r="C17" s="80">
        <f>C13/C16-1</f>
        <v/>
      </c>
    </row>
    <row r="18">
      <c r="A18" s="6" t="inlineStr">
        <is>
          <t>Conclusion</t>
        </is>
      </c>
      <c r="B18" s="7" t="inlineStr"/>
      <c r="C18" s="83">
        <f>IF(C17&gt;0.15,"UNDERVALUED on these assumptions",IF(C17&lt;-0.15,"OVERVALUED on these assumptions","FAIRLY VALUED - within +/-15%"))</f>
        <v/>
      </c>
    </row>
    <row r="20">
      <c r="A20" s="4" t="inlineStr">
        <is>
          <t>SANITY CHECKS - does the answer make sense?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14" t="inlineStr">
        <is>
          <t>Implied EV / FY2025A EBITDA</t>
        </is>
      </c>
      <c r="B21" s="7" t="inlineStr">
        <is>
          <t>x</t>
        </is>
      </c>
      <c r="C21" s="18">
        <f>C7/Historicals!G21</f>
        <v/>
      </c>
    </row>
    <row r="22">
      <c r="A22" s="14" t="inlineStr">
        <is>
          <t>Implied EV / FY2030E EBITDA</t>
        </is>
      </c>
      <c r="B22" s="7" t="inlineStr">
        <is>
          <t>x</t>
        </is>
      </c>
      <c r="C22" s="18">
        <f>C7/DCF!G23</f>
        <v/>
      </c>
    </row>
    <row r="23">
      <c r="A23" s="14" t="inlineStr">
        <is>
          <t>Memo: EV the market is currently paying</t>
        </is>
      </c>
      <c r="B23" s="7" t="inlineStr">
        <is>
          <t>$mm</t>
        </is>
      </c>
      <c r="C23" s="69">
        <f>WACC!C45</f>
        <v/>
      </c>
    </row>
    <row r="24">
      <c r="A24" s="14" t="inlineStr">
        <is>
          <t>Memo: current EV / LTM EBITDA</t>
        </is>
      </c>
      <c r="B24" s="7" t="inlineStr">
        <is>
          <t>x</t>
        </is>
      </c>
      <c r="C24" s="18">
        <f>WACC!C47</f>
        <v/>
      </c>
    </row>
    <row r="25">
      <c r="A25" s="14" t="inlineStr">
        <is>
          <t>Gap: implied EV vs. market EV</t>
        </is>
      </c>
      <c r="B25" s="7" t="inlineStr">
        <is>
          <t>$mm</t>
        </is>
      </c>
      <c r="C25" s="39">
        <f>C7-C23</f>
        <v/>
      </c>
      <c r="I25" s="10" t="inlineStr">
        <is>
          <t>Negative means the market is paying more than this DCF supports. That gap is the thing to be able to explain in an interview.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43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SENSITIVITY - implied share price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OUTPUT | Live formulas, not pasted values. Each cell re-runs the whole discounting and terminal-value calculation at that WACC / growth / margin pair.</t>
        </is>
      </c>
    </row>
    <row r="4">
      <c r="A4" s="84" t="inlineStr">
        <is>
          <t>TABLE A  -  WACC (rows) x TERMINAL GROWTH (columns)</t>
        </is>
      </c>
    </row>
    <row r="5">
      <c r="A5" s="20" t="inlineStr">
        <is>
          <t>Implied share price, $. Each cell re-discounts the five forecast UFCFs and rebuilds the terminal value at that WACC / g pair.</t>
        </is>
      </c>
    </row>
    <row r="7">
      <c r="B7" s="85" t="inlineStr">
        <is>
          <t>WACC \ g</t>
        </is>
      </c>
      <c r="C7" s="86" t="n">
        <v>0.015</v>
      </c>
      <c r="D7" s="86" t="n">
        <v>0.0175</v>
      </c>
      <c r="E7" s="86" t="n">
        <v>0.02</v>
      </c>
      <c r="F7" s="86" t="n">
        <v>0.0225</v>
      </c>
      <c r="G7" s="86" t="n">
        <v>0.025</v>
      </c>
      <c r="H7" s="86" t="n">
        <v>0.0275</v>
      </c>
      <c r="I7" s="86" t="n">
        <v>0.03</v>
      </c>
    </row>
    <row r="8">
      <c r="B8" s="87" t="n">
        <v>0.0798</v>
      </c>
      <c r="C8" s="88">
        <f>IF($B8&lt;=C$7+0.005,NA(),((DCF!$C$21/(1+$B8)^DCF!$C$29+DCF!$D$21/(1+$B8)^DCF!$D$29+DCF!$E$21/(1+$B8)^DCF!$E$29+DCF!$F$21/(1+$B8)^DCF!$F$29+DCF!$G$21/(1+$B8)^DCF!$G$29)+'Terminal Value'!$C$20*(1+C$7)/($B8-C$7)/(1+$B8)^'Terminal Value'!$C$39-Historicals!$G$70+Historicals!$G$69)/WACC!$C$22)</f>
        <v/>
      </c>
      <c r="D8" s="88">
        <f>IF($B8&lt;=D$7+0.005,NA(),((DCF!$C$21/(1+$B8)^DCF!$C$29+DCF!$D$21/(1+$B8)^DCF!$D$29+DCF!$E$21/(1+$B8)^DCF!$E$29+DCF!$F$21/(1+$B8)^DCF!$F$29+DCF!$G$21/(1+$B8)^DCF!$G$29)+'Terminal Value'!$C$20*(1+D$7)/($B8-D$7)/(1+$B8)^'Terminal Value'!$C$39-Historicals!$G$70+Historicals!$G$69)/WACC!$C$22)</f>
        <v/>
      </c>
      <c r="E8" s="88">
        <f>IF($B8&lt;=E$7+0.005,NA(),((DCF!$C$21/(1+$B8)^DCF!$C$29+DCF!$D$21/(1+$B8)^DCF!$D$29+DCF!$E$21/(1+$B8)^DCF!$E$29+DCF!$F$21/(1+$B8)^DCF!$F$29+DCF!$G$21/(1+$B8)^DCF!$G$29)+'Terminal Value'!$C$20*(1+E$7)/($B8-E$7)/(1+$B8)^'Terminal Value'!$C$39-Historicals!$G$70+Historicals!$G$69)/WACC!$C$22)</f>
        <v/>
      </c>
      <c r="F8" s="88">
        <f>IF($B8&lt;=F$7+0.005,NA(),((DCF!$C$21/(1+$B8)^DCF!$C$29+DCF!$D$21/(1+$B8)^DCF!$D$29+DCF!$E$21/(1+$B8)^DCF!$E$29+DCF!$F$21/(1+$B8)^DCF!$F$29+DCF!$G$21/(1+$B8)^DCF!$G$29)+'Terminal Value'!$C$20*(1+F$7)/($B8-F$7)/(1+$B8)^'Terminal Value'!$C$39-Historicals!$G$70+Historicals!$G$69)/WACC!$C$22)</f>
        <v/>
      </c>
      <c r="G8" s="88">
        <f>IF($B8&lt;=G$7+0.005,NA(),((DCF!$C$21/(1+$B8)^DCF!$C$29+DCF!$D$21/(1+$B8)^DCF!$D$29+DCF!$E$21/(1+$B8)^DCF!$E$29+DCF!$F$21/(1+$B8)^DCF!$F$29+DCF!$G$21/(1+$B8)^DCF!$G$29)+'Terminal Value'!$C$20*(1+G$7)/($B8-G$7)/(1+$B8)^'Terminal Value'!$C$39-Historicals!$G$70+Historicals!$G$69)/WACC!$C$22)</f>
        <v/>
      </c>
      <c r="H8" s="88">
        <f>IF($B8&lt;=H$7+0.005,NA(),((DCF!$C$21/(1+$B8)^DCF!$C$29+DCF!$D$21/(1+$B8)^DCF!$D$29+DCF!$E$21/(1+$B8)^DCF!$E$29+DCF!$F$21/(1+$B8)^DCF!$F$29+DCF!$G$21/(1+$B8)^DCF!$G$29)+'Terminal Value'!$C$20*(1+H$7)/($B8-H$7)/(1+$B8)^'Terminal Value'!$C$39-Historicals!$G$70+Historicals!$G$69)/WACC!$C$22)</f>
        <v/>
      </c>
      <c r="I8" s="88">
        <f>IF($B8&lt;=I$7+0.005,NA(),((DCF!$C$21/(1+$B8)^DCF!$C$29+DCF!$D$21/(1+$B8)^DCF!$D$29+DCF!$E$21/(1+$B8)^DCF!$E$29+DCF!$F$21/(1+$B8)^DCF!$F$29+DCF!$G$21/(1+$B8)^DCF!$G$29)+'Terminal Value'!$C$20*(1+I$7)/($B8-I$7)/(1+$B8)^'Terminal Value'!$C$39-Historicals!$G$70+Historicals!$G$69)/WACC!$C$22)</f>
        <v/>
      </c>
    </row>
    <row r="9">
      <c r="B9" s="87" t="n">
        <v>0.0823</v>
      </c>
      <c r="C9" s="88">
        <f>IF($B9&lt;=C$7+0.005,NA(),((DCF!$C$21/(1+$B9)^DCF!$C$29+DCF!$D$21/(1+$B9)^DCF!$D$29+DCF!$E$21/(1+$B9)^DCF!$E$29+DCF!$F$21/(1+$B9)^DCF!$F$29+DCF!$G$21/(1+$B9)^DCF!$G$29)+'Terminal Value'!$C$20*(1+C$7)/($B9-C$7)/(1+$B9)^'Terminal Value'!$C$39-Historicals!$G$70+Historicals!$G$69)/WACC!$C$22)</f>
        <v/>
      </c>
      <c r="D9" s="88">
        <f>IF($B9&lt;=D$7+0.005,NA(),((DCF!$C$21/(1+$B9)^DCF!$C$29+DCF!$D$21/(1+$B9)^DCF!$D$29+DCF!$E$21/(1+$B9)^DCF!$E$29+DCF!$F$21/(1+$B9)^DCF!$F$29+DCF!$G$21/(1+$B9)^DCF!$G$29)+'Terminal Value'!$C$20*(1+D$7)/($B9-D$7)/(1+$B9)^'Terminal Value'!$C$39-Historicals!$G$70+Historicals!$G$69)/WACC!$C$22)</f>
        <v/>
      </c>
      <c r="E9" s="88">
        <f>IF($B9&lt;=E$7+0.005,NA(),((DCF!$C$21/(1+$B9)^DCF!$C$29+DCF!$D$21/(1+$B9)^DCF!$D$29+DCF!$E$21/(1+$B9)^DCF!$E$29+DCF!$F$21/(1+$B9)^DCF!$F$29+DCF!$G$21/(1+$B9)^DCF!$G$29)+'Terminal Value'!$C$20*(1+E$7)/($B9-E$7)/(1+$B9)^'Terminal Value'!$C$39-Historicals!$G$70+Historicals!$G$69)/WACC!$C$22)</f>
        <v/>
      </c>
      <c r="F9" s="88">
        <f>IF($B9&lt;=F$7+0.005,NA(),((DCF!$C$21/(1+$B9)^DCF!$C$29+DCF!$D$21/(1+$B9)^DCF!$D$29+DCF!$E$21/(1+$B9)^DCF!$E$29+DCF!$F$21/(1+$B9)^DCF!$F$29+DCF!$G$21/(1+$B9)^DCF!$G$29)+'Terminal Value'!$C$20*(1+F$7)/($B9-F$7)/(1+$B9)^'Terminal Value'!$C$39-Historicals!$G$70+Historicals!$G$69)/WACC!$C$22)</f>
        <v/>
      </c>
      <c r="G9" s="88">
        <f>IF($B9&lt;=G$7+0.005,NA(),((DCF!$C$21/(1+$B9)^DCF!$C$29+DCF!$D$21/(1+$B9)^DCF!$D$29+DCF!$E$21/(1+$B9)^DCF!$E$29+DCF!$F$21/(1+$B9)^DCF!$F$29+DCF!$G$21/(1+$B9)^DCF!$G$29)+'Terminal Value'!$C$20*(1+G$7)/($B9-G$7)/(1+$B9)^'Terminal Value'!$C$39-Historicals!$G$70+Historicals!$G$69)/WACC!$C$22)</f>
        <v/>
      </c>
      <c r="H9" s="88">
        <f>IF($B9&lt;=H$7+0.005,NA(),((DCF!$C$21/(1+$B9)^DCF!$C$29+DCF!$D$21/(1+$B9)^DCF!$D$29+DCF!$E$21/(1+$B9)^DCF!$E$29+DCF!$F$21/(1+$B9)^DCF!$F$29+DCF!$G$21/(1+$B9)^DCF!$G$29)+'Terminal Value'!$C$20*(1+H$7)/($B9-H$7)/(1+$B9)^'Terminal Value'!$C$39-Historicals!$G$70+Historicals!$G$69)/WACC!$C$22)</f>
        <v/>
      </c>
      <c r="I9" s="88">
        <f>IF($B9&lt;=I$7+0.005,NA(),((DCF!$C$21/(1+$B9)^DCF!$C$29+DCF!$D$21/(1+$B9)^DCF!$D$29+DCF!$E$21/(1+$B9)^DCF!$E$29+DCF!$F$21/(1+$B9)^DCF!$F$29+DCF!$G$21/(1+$B9)^DCF!$G$29)+'Terminal Value'!$C$20*(1+I$7)/($B9-I$7)/(1+$B9)^'Terminal Value'!$C$39-Historicals!$G$70+Historicals!$G$69)/WACC!$C$22)</f>
        <v/>
      </c>
    </row>
    <row r="10">
      <c r="B10" s="87" t="n">
        <v>0.0848</v>
      </c>
      <c r="C10" s="88">
        <f>IF($B10&lt;=C$7+0.005,NA(),((DCF!$C$21/(1+$B10)^DCF!$C$29+DCF!$D$21/(1+$B10)^DCF!$D$29+DCF!$E$21/(1+$B10)^DCF!$E$29+DCF!$F$21/(1+$B10)^DCF!$F$29+DCF!$G$21/(1+$B10)^DCF!$G$29)+'Terminal Value'!$C$20*(1+C$7)/($B10-C$7)/(1+$B10)^'Terminal Value'!$C$39-Historicals!$G$70+Historicals!$G$69)/WACC!$C$22)</f>
        <v/>
      </c>
      <c r="D10" s="88">
        <f>IF($B10&lt;=D$7+0.005,NA(),((DCF!$C$21/(1+$B10)^DCF!$C$29+DCF!$D$21/(1+$B10)^DCF!$D$29+DCF!$E$21/(1+$B10)^DCF!$E$29+DCF!$F$21/(1+$B10)^DCF!$F$29+DCF!$G$21/(1+$B10)^DCF!$G$29)+'Terminal Value'!$C$20*(1+D$7)/($B10-D$7)/(1+$B10)^'Terminal Value'!$C$39-Historicals!$G$70+Historicals!$G$69)/WACC!$C$22)</f>
        <v/>
      </c>
      <c r="E10" s="88">
        <f>IF($B10&lt;=E$7+0.005,NA(),((DCF!$C$21/(1+$B10)^DCF!$C$29+DCF!$D$21/(1+$B10)^DCF!$D$29+DCF!$E$21/(1+$B10)^DCF!$E$29+DCF!$F$21/(1+$B10)^DCF!$F$29+DCF!$G$21/(1+$B10)^DCF!$G$29)+'Terminal Value'!$C$20*(1+E$7)/($B10-E$7)/(1+$B10)^'Terminal Value'!$C$39-Historicals!$G$70+Historicals!$G$69)/WACC!$C$22)</f>
        <v/>
      </c>
      <c r="F10" s="88">
        <f>IF($B10&lt;=F$7+0.005,NA(),((DCF!$C$21/(1+$B10)^DCF!$C$29+DCF!$D$21/(1+$B10)^DCF!$D$29+DCF!$E$21/(1+$B10)^DCF!$E$29+DCF!$F$21/(1+$B10)^DCF!$F$29+DCF!$G$21/(1+$B10)^DCF!$G$29)+'Terminal Value'!$C$20*(1+F$7)/($B10-F$7)/(1+$B10)^'Terminal Value'!$C$39-Historicals!$G$70+Historicals!$G$69)/WACC!$C$22)</f>
        <v/>
      </c>
      <c r="G10" s="88">
        <f>IF($B10&lt;=G$7+0.005,NA(),((DCF!$C$21/(1+$B10)^DCF!$C$29+DCF!$D$21/(1+$B10)^DCF!$D$29+DCF!$E$21/(1+$B10)^DCF!$E$29+DCF!$F$21/(1+$B10)^DCF!$F$29+DCF!$G$21/(1+$B10)^DCF!$G$29)+'Terminal Value'!$C$20*(1+G$7)/($B10-G$7)/(1+$B10)^'Terminal Value'!$C$39-Historicals!$G$70+Historicals!$G$69)/WACC!$C$22)</f>
        <v/>
      </c>
      <c r="H10" s="88">
        <f>IF($B10&lt;=H$7+0.005,NA(),((DCF!$C$21/(1+$B10)^DCF!$C$29+DCF!$D$21/(1+$B10)^DCF!$D$29+DCF!$E$21/(1+$B10)^DCF!$E$29+DCF!$F$21/(1+$B10)^DCF!$F$29+DCF!$G$21/(1+$B10)^DCF!$G$29)+'Terminal Value'!$C$20*(1+H$7)/($B10-H$7)/(1+$B10)^'Terminal Value'!$C$39-Historicals!$G$70+Historicals!$G$69)/WACC!$C$22)</f>
        <v/>
      </c>
      <c r="I10" s="88">
        <f>IF($B10&lt;=I$7+0.005,NA(),((DCF!$C$21/(1+$B10)^DCF!$C$29+DCF!$D$21/(1+$B10)^DCF!$D$29+DCF!$E$21/(1+$B10)^DCF!$E$29+DCF!$F$21/(1+$B10)^DCF!$F$29+DCF!$G$21/(1+$B10)^DCF!$G$29)+'Terminal Value'!$C$20*(1+I$7)/($B10-I$7)/(1+$B10)^'Terminal Value'!$C$39-Historicals!$G$70+Historicals!$G$69)/WACC!$C$22)</f>
        <v/>
      </c>
    </row>
    <row r="11">
      <c r="B11" s="87" t="n">
        <v>0.0873</v>
      </c>
      <c r="C11" s="88">
        <f>IF($B11&lt;=C$7+0.005,NA(),((DCF!$C$21/(1+$B11)^DCF!$C$29+DCF!$D$21/(1+$B11)^DCF!$D$29+DCF!$E$21/(1+$B11)^DCF!$E$29+DCF!$F$21/(1+$B11)^DCF!$F$29+DCF!$G$21/(1+$B11)^DCF!$G$29)+'Terminal Value'!$C$20*(1+C$7)/($B11-C$7)/(1+$B11)^'Terminal Value'!$C$39-Historicals!$G$70+Historicals!$G$69)/WACC!$C$22)</f>
        <v/>
      </c>
      <c r="D11" s="88">
        <f>IF($B11&lt;=D$7+0.005,NA(),((DCF!$C$21/(1+$B11)^DCF!$C$29+DCF!$D$21/(1+$B11)^DCF!$D$29+DCF!$E$21/(1+$B11)^DCF!$E$29+DCF!$F$21/(1+$B11)^DCF!$F$29+DCF!$G$21/(1+$B11)^DCF!$G$29)+'Terminal Value'!$C$20*(1+D$7)/($B11-D$7)/(1+$B11)^'Terminal Value'!$C$39-Historicals!$G$70+Historicals!$G$69)/WACC!$C$22)</f>
        <v/>
      </c>
      <c r="E11" s="88">
        <f>IF($B11&lt;=E$7+0.005,NA(),((DCF!$C$21/(1+$B11)^DCF!$C$29+DCF!$D$21/(1+$B11)^DCF!$D$29+DCF!$E$21/(1+$B11)^DCF!$E$29+DCF!$F$21/(1+$B11)^DCF!$F$29+DCF!$G$21/(1+$B11)^DCF!$G$29)+'Terminal Value'!$C$20*(1+E$7)/($B11-E$7)/(1+$B11)^'Terminal Value'!$C$39-Historicals!$G$70+Historicals!$G$69)/WACC!$C$22)</f>
        <v/>
      </c>
      <c r="F11" s="88">
        <f>IF($B11&lt;=F$7+0.005,NA(),((DCF!$C$21/(1+$B11)^DCF!$C$29+DCF!$D$21/(1+$B11)^DCF!$D$29+DCF!$E$21/(1+$B11)^DCF!$E$29+DCF!$F$21/(1+$B11)^DCF!$F$29+DCF!$G$21/(1+$B11)^DCF!$G$29)+'Terminal Value'!$C$20*(1+F$7)/($B11-F$7)/(1+$B11)^'Terminal Value'!$C$39-Historicals!$G$70+Historicals!$G$69)/WACC!$C$22)</f>
        <v/>
      </c>
      <c r="G11" s="88">
        <f>IF($B11&lt;=G$7+0.005,NA(),((DCF!$C$21/(1+$B11)^DCF!$C$29+DCF!$D$21/(1+$B11)^DCF!$D$29+DCF!$E$21/(1+$B11)^DCF!$E$29+DCF!$F$21/(1+$B11)^DCF!$F$29+DCF!$G$21/(1+$B11)^DCF!$G$29)+'Terminal Value'!$C$20*(1+G$7)/($B11-G$7)/(1+$B11)^'Terminal Value'!$C$39-Historicals!$G$70+Historicals!$G$69)/WACC!$C$22)</f>
        <v/>
      </c>
      <c r="H11" s="88">
        <f>IF($B11&lt;=H$7+0.005,NA(),((DCF!$C$21/(1+$B11)^DCF!$C$29+DCF!$D$21/(1+$B11)^DCF!$D$29+DCF!$E$21/(1+$B11)^DCF!$E$29+DCF!$F$21/(1+$B11)^DCF!$F$29+DCF!$G$21/(1+$B11)^DCF!$G$29)+'Terminal Value'!$C$20*(1+H$7)/($B11-H$7)/(1+$B11)^'Terminal Value'!$C$39-Historicals!$G$70+Historicals!$G$69)/WACC!$C$22)</f>
        <v/>
      </c>
      <c r="I11" s="88">
        <f>IF($B11&lt;=I$7+0.005,NA(),((DCF!$C$21/(1+$B11)^DCF!$C$29+DCF!$D$21/(1+$B11)^DCF!$D$29+DCF!$E$21/(1+$B11)^DCF!$E$29+DCF!$F$21/(1+$B11)^DCF!$F$29+DCF!$G$21/(1+$B11)^DCF!$G$29)+'Terminal Value'!$C$20*(1+I$7)/($B11-I$7)/(1+$B11)^'Terminal Value'!$C$39-Historicals!$G$70+Historicals!$G$69)/WACC!$C$22)</f>
        <v/>
      </c>
    </row>
    <row r="12">
      <c r="B12" s="87" t="n">
        <v>0.0898</v>
      </c>
      <c r="C12" s="88">
        <f>IF($B12&lt;=C$7+0.005,NA(),((DCF!$C$21/(1+$B12)^DCF!$C$29+DCF!$D$21/(1+$B12)^DCF!$D$29+DCF!$E$21/(1+$B12)^DCF!$E$29+DCF!$F$21/(1+$B12)^DCF!$F$29+DCF!$G$21/(1+$B12)^DCF!$G$29)+'Terminal Value'!$C$20*(1+C$7)/($B12-C$7)/(1+$B12)^'Terminal Value'!$C$39-Historicals!$G$70+Historicals!$G$69)/WACC!$C$22)</f>
        <v/>
      </c>
      <c r="D12" s="88">
        <f>IF($B12&lt;=D$7+0.005,NA(),((DCF!$C$21/(1+$B12)^DCF!$C$29+DCF!$D$21/(1+$B12)^DCF!$D$29+DCF!$E$21/(1+$B12)^DCF!$E$29+DCF!$F$21/(1+$B12)^DCF!$F$29+DCF!$G$21/(1+$B12)^DCF!$G$29)+'Terminal Value'!$C$20*(1+D$7)/($B12-D$7)/(1+$B12)^'Terminal Value'!$C$39-Historicals!$G$70+Historicals!$G$69)/WACC!$C$22)</f>
        <v/>
      </c>
      <c r="E12" s="88">
        <f>IF($B12&lt;=E$7+0.005,NA(),((DCF!$C$21/(1+$B12)^DCF!$C$29+DCF!$D$21/(1+$B12)^DCF!$D$29+DCF!$E$21/(1+$B12)^DCF!$E$29+DCF!$F$21/(1+$B12)^DCF!$F$29+DCF!$G$21/(1+$B12)^DCF!$G$29)+'Terminal Value'!$C$20*(1+E$7)/($B12-E$7)/(1+$B12)^'Terminal Value'!$C$39-Historicals!$G$70+Historicals!$G$69)/WACC!$C$22)</f>
        <v/>
      </c>
      <c r="F12" s="88">
        <f>IF($B12&lt;=F$7+0.005,NA(),((DCF!$C$21/(1+$B12)^DCF!$C$29+DCF!$D$21/(1+$B12)^DCF!$D$29+DCF!$E$21/(1+$B12)^DCF!$E$29+DCF!$F$21/(1+$B12)^DCF!$F$29+DCF!$G$21/(1+$B12)^DCF!$G$29)+'Terminal Value'!$C$20*(1+F$7)/($B12-F$7)/(1+$B12)^'Terminal Value'!$C$39-Historicals!$G$70+Historicals!$G$69)/WACC!$C$22)</f>
        <v/>
      </c>
      <c r="G12" s="88">
        <f>IF($B12&lt;=G$7+0.005,NA(),((DCF!$C$21/(1+$B12)^DCF!$C$29+DCF!$D$21/(1+$B12)^DCF!$D$29+DCF!$E$21/(1+$B12)^DCF!$E$29+DCF!$F$21/(1+$B12)^DCF!$F$29+DCF!$G$21/(1+$B12)^DCF!$G$29)+'Terminal Value'!$C$20*(1+G$7)/($B12-G$7)/(1+$B12)^'Terminal Value'!$C$39-Historicals!$G$70+Historicals!$G$69)/WACC!$C$22)</f>
        <v/>
      </c>
      <c r="H12" s="88">
        <f>IF($B12&lt;=H$7+0.005,NA(),((DCF!$C$21/(1+$B12)^DCF!$C$29+DCF!$D$21/(1+$B12)^DCF!$D$29+DCF!$E$21/(1+$B12)^DCF!$E$29+DCF!$F$21/(1+$B12)^DCF!$F$29+DCF!$G$21/(1+$B12)^DCF!$G$29)+'Terminal Value'!$C$20*(1+H$7)/($B12-H$7)/(1+$B12)^'Terminal Value'!$C$39-Historicals!$G$70+Historicals!$G$69)/WACC!$C$22)</f>
        <v/>
      </c>
      <c r="I12" s="88">
        <f>IF($B12&lt;=I$7+0.005,NA(),((DCF!$C$21/(1+$B12)^DCF!$C$29+DCF!$D$21/(1+$B12)^DCF!$D$29+DCF!$E$21/(1+$B12)^DCF!$E$29+DCF!$F$21/(1+$B12)^DCF!$F$29+DCF!$G$21/(1+$B12)^DCF!$G$29)+'Terminal Value'!$C$20*(1+I$7)/($B12-I$7)/(1+$B12)^'Terminal Value'!$C$39-Historicals!$G$70+Historicals!$G$69)/WACC!$C$22)</f>
        <v/>
      </c>
    </row>
    <row r="13">
      <c r="B13" s="87" t="n">
        <v>0.09229999999999999</v>
      </c>
      <c r="C13" s="88">
        <f>IF($B13&lt;=C$7+0.005,NA(),((DCF!$C$21/(1+$B13)^DCF!$C$29+DCF!$D$21/(1+$B13)^DCF!$D$29+DCF!$E$21/(1+$B13)^DCF!$E$29+DCF!$F$21/(1+$B13)^DCF!$F$29+DCF!$G$21/(1+$B13)^DCF!$G$29)+'Terminal Value'!$C$20*(1+C$7)/($B13-C$7)/(1+$B13)^'Terminal Value'!$C$39-Historicals!$G$70+Historicals!$G$69)/WACC!$C$22)</f>
        <v/>
      </c>
      <c r="D13" s="88">
        <f>IF($B13&lt;=D$7+0.005,NA(),((DCF!$C$21/(1+$B13)^DCF!$C$29+DCF!$D$21/(1+$B13)^DCF!$D$29+DCF!$E$21/(1+$B13)^DCF!$E$29+DCF!$F$21/(1+$B13)^DCF!$F$29+DCF!$G$21/(1+$B13)^DCF!$G$29)+'Terminal Value'!$C$20*(1+D$7)/($B13-D$7)/(1+$B13)^'Terminal Value'!$C$39-Historicals!$G$70+Historicals!$G$69)/WACC!$C$22)</f>
        <v/>
      </c>
      <c r="E13" s="88">
        <f>IF($B13&lt;=E$7+0.005,NA(),((DCF!$C$21/(1+$B13)^DCF!$C$29+DCF!$D$21/(1+$B13)^DCF!$D$29+DCF!$E$21/(1+$B13)^DCF!$E$29+DCF!$F$21/(1+$B13)^DCF!$F$29+DCF!$G$21/(1+$B13)^DCF!$G$29)+'Terminal Value'!$C$20*(1+E$7)/($B13-E$7)/(1+$B13)^'Terminal Value'!$C$39-Historicals!$G$70+Historicals!$G$69)/WACC!$C$22)</f>
        <v/>
      </c>
      <c r="F13" s="88">
        <f>IF($B13&lt;=F$7+0.005,NA(),((DCF!$C$21/(1+$B13)^DCF!$C$29+DCF!$D$21/(1+$B13)^DCF!$D$29+DCF!$E$21/(1+$B13)^DCF!$E$29+DCF!$F$21/(1+$B13)^DCF!$F$29+DCF!$G$21/(1+$B13)^DCF!$G$29)+'Terminal Value'!$C$20*(1+F$7)/($B13-F$7)/(1+$B13)^'Terminal Value'!$C$39-Historicals!$G$70+Historicals!$G$69)/WACC!$C$22)</f>
        <v/>
      </c>
      <c r="G13" s="88">
        <f>IF($B13&lt;=G$7+0.005,NA(),((DCF!$C$21/(1+$B13)^DCF!$C$29+DCF!$D$21/(1+$B13)^DCF!$D$29+DCF!$E$21/(1+$B13)^DCF!$E$29+DCF!$F$21/(1+$B13)^DCF!$F$29+DCF!$G$21/(1+$B13)^DCF!$G$29)+'Terminal Value'!$C$20*(1+G$7)/($B13-G$7)/(1+$B13)^'Terminal Value'!$C$39-Historicals!$G$70+Historicals!$G$69)/WACC!$C$22)</f>
        <v/>
      </c>
      <c r="H13" s="88">
        <f>IF($B13&lt;=H$7+0.005,NA(),((DCF!$C$21/(1+$B13)^DCF!$C$29+DCF!$D$21/(1+$B13)^DCF!$D$29+DCF!$E$21/(1+$B13)^DCF!$E$29+DCF!$F$21/(1+$B13)^DCF!$F$29+DCF!$G$21/(1+$B13)^DCF!$G$29)+'Terminal Value'!$C$20*(1+H$7)/($B13-H$7)/(1+$B13)^'Terminal Value'!$C$39-Historicals!$G$70+Historicals!$G$69)/WACC!$C$22)</f>
        <v/>
      </c>
      <c r="I13" s="88">
        <f>IF($B13&lt;=I$7+0.005,NA(),((DCF!$C$21/(1+$B13)^DCF!$C$29+DCF!$D$21/(1+$B13)^DCF!$D$29+DCF!$E$21/(1+$B13)^DCF!$E$29+DCF!$F$21/(1+$B13)^DCF!$F$29+DCF!$G$21/(1+$B13)^DCF!$G$29)+'Terminal Value'!$C$20*(1+I$7)/($B13-I$7)/(1+$B13)^'Terminal Value'!$C$39-Historicals!$G$70+Historicals!$G$69)/WACC!$C$22)</f>
        <v/>
      </c>
    </row>
    <row r="14">
      <c r="B14" s="87" t="n">
        <v>0.0948</v>
      </c>
      <c r="C14" s="88">
        <f>IF($B14&lt;=C$7+0.005,NA(),((DCF!$C$21/(1+$B14)^DCF!$C$29+DCF!$D$21/(1+$B14)^DCF!$D$29+DCF!$E$21/(1+$B14)^DCF!$E$29+DCF!$F$21/(1+$B14)^DCF!$F$29+DCF!$G$21/(1+$B14)^DCF!$G$29)+'Terminal Value'!$C$20*(1+C$7)/($B14-C$7)/(1+$B14)^'Terminal Value'!$C$39-Historicals!$G$70+Historicals!$G$69)/WACC!$C$22)</f>
        <v/>
      </c>
      <c r="D14" s="88">
        <f>IF($B14&lt;=D$7+0.005,NA(),((DCF!$C$21/(1+$B14)^DCF!$C$29+DCF!$D$21/(1+$B14)^DCF!$D$29+DCF!$E$21/(1+$B14)^DCF!$E$29+DCF!$F$21/(1+$B14)^DCF!$F$29+DCF!$G$21/(1+$B14)^DCF!$G$29)+'Terminal Value'!$C$20*(1+D$7)/($B14-D$7)/(1+$B14)^'Terminal Value'!$C$39-Historicals!$G$70+Historicals!$G$69)/WACC!$C$22)</f>
        <v/>
      </c>
      <c r="E14" s="88">
        <f>IF($B14&lt;=E$7+0.005,NA(),((DCF!$C$21/(1+$B14)^DCF!$C$29+DCF!$D$21/(1+$B14)^DCF!$D$29+DCF!$E$21/(1+$B14)^DCF!$E$29+DCF!$F$21/(1+$B14)^DCF!$F$29+DCF!$G$21/(1+$B14)^DCF!$G$29)+'Terminal Value'!$C$20*(1+E$7)/($B14-E$7)/(1+$B14)^'Terminal Value'!$C$39-Historicals!$G$70+Historicals!$G$69)/WACC!$C$22)</f>
        <v/>
      </c>
      <c r="F14" s="89">
        <f>IF($B14&lt;=F$7+0.005,NA(),((DCF!$C$21/(1+$B14)^DCF!$C$29+DCF!$D$21/(1+$B14)^DCF!$D$29+DCF!$E$21/(1+$B14)^DCF!$E$29+DCF!$F$21/(1+$B14)^DCF!$F$29+DCF!$G$21/(1+$B14)^DCF!$G$29)+'Terminal Value'!$C$20*(1+F$7)/($B14-F$7)/(1+$B14)^'Terminal Value'!$C$39-Historicals!$G$70+Historicals!$G$69)/WACC!$C$22)</f>
        <v/>
      </c>
      <c r="G14" s="88">
        <f>IF($B14&lt;=G$7+0.005,NA(),((DCF!$C$21/(1+$B14)^DCF!$C$29+DCF!$D$21/(1+$B14)^DCF!$D$29+DCF!$E$21/(1+$B14)^DCF!$E$29+DCF!$F$21/(1+$B14)^DCF!$F$29+DCF!$G$21/(1+$B14)^DCF!$G$29)+'Terminal Value'!$C$20*(1+G$7)/($B14-G$7)/(1+$B14)^'Terminal Value'!$C$39-Historicals!$G$70+Historicals!$G$69)/WACC!$C$22)</f>
        <v/>
      </c>
      <c r="H14" s="88">
        <f>IF($B14&lt;=H$7+0.005,NA(),((DCF!$C$21/(1+$B14)^DCF!$C$29+DCF!$D$21/(1+$B14)^DCF!$D$29+DCF!$E$21/(1+$B14)^DCF!$E$29+DCF!$F$21/(1+$B14)^DCF!$F$29+DCF!$G$21/(1+$B14)^DCF!$G$29)+'Terminal Value'!$C$20*(1+H$7)/($B14-H$7)/(1+$B14)^'Terminal Value'!$C$39-Historicals!$G$70+Historicals!$G$69)/WACC!$C$22)</f>
        <v/>
      </c>
      <c r="I14" s="88">
        <f>IF($B14&lt;=I$7+0.005,NA(),((DCF!$C$21/(1+$B14)^DCF!$C$29+DCF!$D$21/(1+$B14)^DCF!$D$29+DCF!$E$21/(1+$B14)^DCF!$E$29+DCF!$F$21/(1+$B14)^DCF!$F$29+DCF!$G$21/(1+$B14)^DCF!$G$29)+'Terminal Value'!$C$20*(1+I$7)/($B14-I$7)/(1+$B14)^'Terminal Value'!$C$39-Historicals!$G$70+Historicals!$G$69)/WACC!$C$22)</f>
        <v/>
      </c>
    </row>
    <row r="15">
      <c r="B15" s="87" t="n">
        <v>0.0973</v>
      </c>
      <c r="C15" s="88">
        <f>IF($B15&lt;=C$7+0.005,NA(),((DCF!$C$21/(1+$B15)^DCF!$C$29+DCF!$D$21/(1+$B15)^DCF!$D$29+DCF!$E$21/(1+$B15)^DCF!$E$29+DCF!$F$21/(1+$B15)^DCF!$F$29+DCF!$G$21/(1+$B15)^DCF!$G$29)+'Terminal Value'!$C$20*(1+C$7)/($B15-C$7)/(1+$B15)^'Terminal Value'!$C$39-Historicals!$G$70+Historicals!$G$69)/WACC!$C$22)</f>
        <v/>
      </c>
      <c r="D15" s="88">
        <f>IF($B15&lt;=D$7+0.005,NA(),((DCF!$C$21/(1+$B15)^DCF!$C$29+DCF!$D$21/(1+$B15)^DCF!$D$29+DCF!$E$21/(1+$B15)^DCF!$E$29+DCF!$F$21/(1+$B15)^DCF!$F$29+DCF!$G$21/(1+$B15)^DCF!$G$29)+'Terminal Value'!$C$20*(1+D$7)/($B15-D$7)/(1+$B15)^'Terminal Value'!$C$39-Historicals!$G$70+Historicals!$G$69)/WACC!$C$22)</f>
        <v/>
      </c>
      <c r="E15" s="88">
        <f>IF($B15&lt;=E$7+0.005,NA(),((DCF!$C$21/(1+$B15)^DCF!$C$29+DCF!$D$21/(1+$B15)^DCF!$D$29+DCF!$E$21/(1+$B15)^DCF!$E$29+DCF!$F$21/(1+$B15)^DCF!$F$29+DCF!$G$21/(1+$B15)^DCF!$G$29)+'Terminal Value'!$C$20*(1+E$7)/($B15-E$7)/(1+$B15)^'Terminal Value'!$C$39-Historicals!$G$70+Historicals!$G$69)/WACC!$C$22)</f>
        <v/>
      </c>
      <c r="F15" s="88">
        <f>IF($B15&lt;=F$7+0.005,NA(),((DCF!$C$21/(1+$B15)^DCF!$C$29+DCF!$D$21/(1+$B15)^DCF!$D$29+DCF!$E$21/(1+$B15)^DCF!$E$29+DCF!$F$21/(1+$B15)^DCF!$F$29+DCF!$G$21/(1+$B15)^DCF!$G$29)+'Terminal Value'!$C$20*(1+F$7)/($B15-F$7)/(1+$B15)^'Terminal Value'!$C$39-Historicals!$G$70+Historicals!$G$69)/WACC!$C$22)</f>
        <v/>
      </c>
      <c r="G15" s="88">
        <f>IF($B15&lt;=G$7+0.005,NA(),((DCF!$C$21/(1+$B15)^DCF!$C$29+DCF!$D$21/(1+$B15)^DCF!$D$29+DCF!$E$21/(1+$B15)^DCF!$E$29+DCF!$F$21/(1+$B15)^DCF!$F$29+DCF!$G$21/(1+$B15)^DCF!$G$29)+'Terminal Value'!$C$20*(1+G$7)/($B15-G$7)/(1+$B15)^'Terminal Value'!$C$39-Historicals!$G$70+Historicals!$G$69)/WACC!$C$22)</f>
        <v/>
      </c>
      <c r="H15" s="88">
        <f>IF($B15&lt;=H$7+0.005,NA(),((DCF!$C$21/(1+$B15)^DCF!$C$29+DCF!$D$21/(1+$B15)^DCF!$D$29+DCF!$E$21/(1+$B15)^DCF!$E$29+DCF!$F$21/(1+$B15)^DCF!$F$29+DCF!$G$21/(1+$B15)^DCF!$G$29)+'Terminal Value'!$C$20*(1+H$7)/($B15-H$7)/(1+$B15)^'Terminal Value'!$C$39-Historicals!$G$70+Historicals!$G$69)/WACC!$C$22)</f>
        <v/>
      </c>
      <c r="I15" s="88">
        <f>IF($B15&lt;=I$7+0.005,NA(),((DCF!$C$21/(1+$B15)^DCF!$C$29+DCF!$D$21/(1+$B15)^DCF!$D$29+DCF!$E$21/(1+$B15)^DCF!$E$29+DCF!$F$21/(1+$B15)^DCF!$F$29+DCF!$G$21/(1+$B15)^DCF!$G$29)+'Terminal Value'!$C$20*(1+I$7)/($B15-I$7)/(1+$B15)^'Terminal Value'!$C$39-Historicals!$G$70+Historicals!$G$69)/WACC!$C$22)</f>
        <v/>
      </c>
    </row>
    <row r="16">
      <c r="B16" s="87" t="n">
        <v>0.0998</v>
      </c>
      <c r="C16" s="88">
        <f>IF($B16&lt;=C$7+0.005,NA(),((DCF!$C$21/(1+$B16)^DCF!$C$29+DCF!$D$21/(1+$B16)^DCF!$D$29+DCF!$E$21/(1+$B16)^DCF!$E$29+DCF!$F$21/(1+$B16)^DCF!$F$29+DCF!$G$21/(1+$B16)^DCF!$G$29)+'Terminal Value'!$C$20*(1+C$7)/($B16-C$7)/(1+$B16)^'Terminal Value'!$C$39-Historicals!$G$70+Historicals!$G$69)/WACC!$C$22)</f>
        <v/>
      </c>
      <c r="D16" s="88">
        <f>IF($B16&lt;=D$7+0.005,NA(),((DCF!$C$21/(1+$B16)^DCF!$C$29+DCF!$D$21/(1+$B16)^DCF!$D$29+DCF!$E$21/(1+$B16)^DCF!$E$29+DCF!$F$21/(1+$B16)^DCF!$F$29+DCF!$G$21/(1+$B16)^DCF!$G$29)+'Terminal Value'!$C$20*(1+D$7)/($B16-D$7)/(1+$B16)^'Terminal Value'!$C$39-Historicals!$G$70+Historicals!$G$69)/WACC!$C$22)</f>
        <v/>
      </c>
      <c r="E16" s="88">
        <f>IF($B16&lt;=E$7+0.005,NA(),((DCF!$C$21/(1+$B16)^DCF!$C$29+DCF!$D$21/(1+$B16)^DCF!$D$29+DCF!$E$21/(1+$B16)^DCF!$E$29+DCF!$F$21/(1+$B16)^DCF!$F$29+DCF!$G$21/(1+$B16)^DCF!$G$29)+'Terminal Value'!$C$20*(1+E$7)/($B16-E$7)/(1+$B16)^'Terminal Value'!$C$39-Historicals!$G$70+Historicals!$G$69)/WACC!$C$22)</f>
        <v/>
      </c>
      <c r="F16" s="88">
        <f>IF($B16&lt;=F$7+0.005,NA(),((DCF!$C$21/(1+$B16)^DCF!$C$29+DCF!$D$21/(1+$B16)^DCF!$D$29+DCF!$E$21/(1+$B16)^DCF!$E$29+DCF!$F$21/(1+$B16)^DCF!$F$29+DCF!$G$21/(1+$B16)^DCF!$G$29)+'Terminal Value'!$C$20*(1+F$7)/($B16-F$7)/(1+$B16)^'Terminal Value'!$C$39-Historicals!$G$70+Historicals!$G$69)/WACC!$C$22)</f>
        <v/>
      </c>
      <c r="G16" s="88">
        <f>IF($B16&lt;=G$7+0.005,NA(),((DCF!$C$21/(1+$B16)^DCF!$C$29+DCF!$D$21/(1+$B16)^DCF!$D$29+DCF!$E$21/(1+$B16)^DCF!$E$29+DCF!$F$21/(1+$B16)^DCF!$F$29+DCF!$G$21/(1+$B16)^DCF!$G$29)+'Terminal Value'!$C$20*(1+G$7)/($B16-G$7)/(1+$B16)^'Terminal Value'!$C$39-Historicals!$G$70+Historicals!$G$69)/WACC!$C$22)</f>
        <v/>
      </c>
      <c r="H16" s="88">
        <f>IF($B16&lt;=H$7+0.005,NA(),((DCF!$C$21/(1+$B16)^DCF!$C$29+DCF!$D$21/(1+$B16)^DCF!$D$29+DCF!$E$21/(1+$B16)^DCF!$E$29+DCF!$F$21/(1+$B16)^DCF!$F$29+DCF!$G$21/(1+$B16)^DCF!$G$29)+'Terminal Value'!$C$20*(1+H$7)/($B16-H$7)/(1+$B16)^'Terminal Value'!$C$39-Historicals!$G$70+Historicals!$G$69)/WACC!$C$22)</f>
        <v/>
      </c>
      <c r="I16" s="88">
        <f>IF($B16&lt;=I$7+0.005,NA(),((DCF!$C$21/(1+$B16)^DCF!$C$29+DCF!$D$21/(1+$B16)^DCF!$D$29+DCF!$E$21/(1+$B16)^DCF!$E$29+DCF!$F$21/(1+$B16)^DCF!$F$29+DCF!$G$21/(1+$B16)^DCF!$G$29)+'Terminal Value'!$C$20*(1+I$7)/($B16-I$7)/(1+$B16)^'Terminal Value'!$C$39-Historicals!$G$70+Historicals!$G$69)/WACC!$C$22)</f>
        <v/>
      </c>
    </row>
    <row r="17">
      <c r="B17" s="87" t="n">
        <v>0.1023</v>
      </c>
      <c r="C17" s="88">
        <f>IF($B17&lt;=C$7+0.005,NA(),((DCF!$C$21/(1+$B17)^DCF!$C$29+DCF!$D$21/(1+$B17)^DCF!$D$29+DCF!$E$21/(1+$B17)^DCF!$E$29+DCF!$F$21/(1+$B17)^DCF!$F$29+DCF!$G$21/(1+$B17)^DCF!$G$29)+'Terminal Value'!$C$20*(1+C$7)/($B17-C$7)/(1+$B17)^'Terminal Value'!$C$39-Historicals!$G$70+Historicals!$G$69)/WACC!$C$22)</f>
        <v/>
      </c>
      <c r="D17" s="88">
        <f>IF($B17&lt;=D$7+0.005,NA(),((DCF!$C$21/(1+$B17)^DCF!$C$29+DCF!$D$21/(1+$B17)^DCF!$D$29+DCF!$E$21/(1+$B17)^DCF!$E$29+DCF!$F$21/(1+$B17)^DCF!$F$29+DCF!$G$21/(1+$B17)^DCF!$G$29)+'Terminal Value'!$C$20*(1+D$7)/($B17-D$7)/(1+$B17)^'Terminal Value'!$C$39-Historicals!$G$70+Historicals!$G$69)/WACC!$C$22)</f>
        <v/>
      </c>
      <c r="E17" s="88">
        <f>IF($B17&lt;=E$7+0.005,NA(),((DCF!$C$21/(1+$B17)^DCF!$C$29+DCF!$D$21/(1+$B17)^DCF!$D$29+DCF!$E$21/(1+$B17)^DCF!$E$29+DCF!$F$21/(1+$B17)^DCF!$F$29+DCF!$G$21/(1+$B17)^DCF!$G$29)+'Terminal Value'!$C$20*(1+E$7)/($B17-E$7)/(1+$B17)^'Terminal Value'!$C$39-Historicals!$G$70+Historicals!$G$69)/WACC!$C$22)</f>
        <v/>
      </c>
      <c r="F17" s="88">
        <f>IF($B17&lt;=F$7+0.005,NA(),((DCF!$C$21/(1+$B17)^DCF!$C$29+DCF!$D$21/(1+$B17)^DCF!$D$29+DCF!$E$21/(1+$B17)^DCF!$E$29+DCF!$F$21/(1+$B17)^DCF!$F$29+DCF!$G$21/(1+$B17)^DCF!$G$29)+'Terminal Value'!$C$20*(1+F$7)/($B17-F$7)/(1+$B17)^'Terminal Value'!$C$39-Historicals!$G$70+Historicals!$G$69)/WACC!$C$22)</f>
        <v/>
      </c>
      <c r="G17" s="88">
        <f>IF($B17&lt;=G$7+0.005,NA(),((DCF!$C$21/(1+$B17)^DCF!$C$29+DCF!$D$21/(1+$B17)^DCF!$D$29+DCF!$E$21/(1+$B17)^DCF!$E$29+DCF!$F$21/(1+$B17)^DCF!$F$29+DCF!$G$21/(1+$B17)^DCF!$G$29)+'Terminal Value'!$C$20*(1+G$7)/($B17-G$7)/(1+$B17)^'Terminal Value'!$C$39-Historicals!$G$70+Historicals!$G$69)/WACC!$C$22)</f>
        <v/>
      </c>
      <c r="H17" s="88">
        <f>IF($B17&lt;=H$7+0.005,NA(),((DCF!$C$21/(1+$B17)^DCF!$C$29+DCF!$D$21/(1+$B17)^DCF!$D$29+DCF!$E$21/(1+$B17)^DCF!$E$29+DCF!$F$21/(1+$B17)^DCF!$F$29+DCF!$G$21/(1+$B17)^DCF!$G$29)+'Terminal Value'!$C$20*(1+H$7)/($B17-H$7)/(1+$B17)^'Terminal Value'!$C$39-Historicals!$G$70+Historicals!$G$69)/WACC!$C$22)</f>
        <v/>
      </c>
      <c r="I17" s="88">
        <f>IF($B17&lt;=I$7+0.005,NA(),((DCF!$C$21/(1+$B17)^DCF!$C$29+DCF!$D$21/(1+$B17)^DCF!$D$29+DCF!$E$21/(1+$B17)^DCF!$E$29+DCF!$F$21/(1+$B17)^DCF!$F$29+DCF!$G$21/(1+$B17)^DCF!$G$29)+'Terminal Value'!$C$20*(1+I$7)/($B17-I$7)/(1+$B17)^'Terminal Value'!$C$39-Historicals!$G$70+Historicals!$G$69)/WACC!$C$22)</f>
        <v/>
      </c>
    </row>
    <row r="18">
      <c r="B18" s="87" t="n">
        <v>0.1048</v>
      </c>
      <c r="C18" s="88">
        <f>IF($B18&lt;=C$7+0.005,NA(),((DCF!$C$21/(1+$B18)^DCF!$C$29+DCF!$D$21/(1+$B18)^DCF!$D$29+DCF!$E$21/(1+$B18)^DCF!$E$29+DCF!$F$21/(1+$B18)^DCF!$F$29+DCF!$G$21/(1+$B18)^DCF!$G$29)+'Terminal Value'!$C$20*(1+C$7)/($B18-C$7)/(1+$B18)^'Terminal Value'!$C$39-Historicals!$G$70+Historicals!$G$69)/WACC!$C$22)</f>
        <v/>
      </c>
      <c r="D18" s="88">
        <f>IF($B18&lt;=D$7+0.005,NA(),((DCF!$C$21/(1+$B18)^DCF!$C$29+DCF!$D$21/(1+$B18)^DCF!$D$29+DCF!$E$21/(1+$B18)^DCF!$E$29+DCF!$F$21/(1+$B18)^DCF!$F$29+DCF!$G$21/(1+$B18)^DCF!$G$29)+'Terminal Value'!$C$20*(1+D$7)/($B18-D$7)/(1+$B18)^'Terminal Value'!$C$39-Historicals!$G$70+Historicals!$G$69)/WACC!$C$22)</f>
        <v/>
      </c>
      <c r="E18" s="88">
        <f>IF($B18&lt;=E$7+0.005,NA(),((DCF!$C$21/(1+$B18)^DCF!$C$29+DCF!$D$21/(1+$B18)^DCF!$D$29+DCF!$E$21/(1+$B18)^DCF!$E$29+DCF!$F$21/(1+$B18)^DCF!$F$29+DCF!$G$21/(1+$B18)^DCF!$G$29)+'Terminal Value'!$C$20*(1+E$7)/($B18-E$7)/(1+$B18)^'Terminal Value'!$C$39-Historicals!$G$70+Historicals!$G$69)/WACC!$C$22)</f>
        <v/>
      </c>
      <c r="F18" s="88">
        <f>IF($B18&lt;=F$7+0.005,NA(),((DCF!$C$21/(1+$B18)^DCF!$C$29+DCF!$D$21/(1+$B18)^DCF!$D$29+DCF!$E$21/(1+$B18)^DCF!$E$29+DCF!$F$21/(1+$B18)^DCF!$F$29+DCF!$G$21/(1+$B18)^DCF!$G$29)+'Terminal Value'!$C$20*(1+F$7)/($B18-F$7)/(1+$B18)^'Terminal Value'!$C$39-Historicals!$G$70+Historicals!$G$69)/WACC!$C$22)</f>
        <v/>
      </c>
      <c r="G18" s="88">
        <f>IF($B18&lt;=G$7+0.005,NA(),((DCF!$C$21/(1+$B18)^DCF!$C$29+DCF!$D$21/(1+$B18)^DCF!$D$29+DCF!$E$21/(1+$B18)^DCF!$E$29+DCF!$F$21/(1+$B18)^DCF!$F$29+DCF!$G$21/(1+$B18)^DCF!$G$29)+'Terminal Value'!$C$20*(1+G$7)/($B18-G$7)/(1+$B18)^'Terminal Value'!$C$39-Historicals!$G$70+Historicals!$G$69)/WACC!$C$22)</f>
        <v/>
      </c>
      <c r="H18" s="88">
        <f>IF($B18&lt;=H$7+0.005,NA(),((DCF!$C$21/(1+$B18)^DCF!$C$29+DCF!$D$21/(1+$B18)^DCF!$D$29+DCF!$E$21/(1+$B18)^DCF!$E$29+DCF!$F$21/(1+$B18)^DCF!$F$29+DCF!$G$21/(1+$B18)^DCF!$G$29)+'Terminal Value'!$C$20*(1+H$7)/($B18-H$7)/(1+$B18)^'Terminal Value'!$C$39-Historicals!$G$70+Historicals!$G$69)/WACC!$C$22)</f>
        <v/>
      </c>
      <c r="I18" s="88">
        <f>IF($B18&lt;=I$7+0.005,NA(),((DCF!$C$21/(1+$B18)^DCF!$C$29+DCF!$D$21/(1+$B18)^DCF!$D$29+DCF!$E$21/(1+$B18)^DCF!$E$29+DCF!$F$21/(1+$B18)^DCF!$F$29+DCF!$G$21/(1+$B18)^DCF!$G$29)+'Terminal Value'!$C$20*(1+I$7)/($B18-I$7)/(1+$B18)^'Terminal Value'!$C$39-Historicals!$G$70+Historicals!$G$69)/WACC!$C$22)</f>
        <v/>
      </c>
    </row>
    <row r="19">
      <c r="B19" s="87" t="n">
        <v>0.1073</v>
      </c>
      <c r="C19" s="88">
        <f>IF($B19&lt;=C$7+0.005,NA(),((DCF!$C$21/(1+$B19)^DCF!$C$29+DCF!$D$21/(1+$B19)^DCF!$D$29+DCF!$E$21/(1+$B19)^DCF!$E$29+DCF!$F$21/(1+$B19)^DCF!$F$29+DCF!$G$21/(1+$B19)^DCF!$G$29)+'Terminal Value'!$C$20*(1+C$7)/($B19-C$7)/(1+$B19)^'Terminal Value'!$C$39-Historicals!$G$70+Historicals!$G$69)/WACC!$C$22)</f>
        <v/>
      </c>
      <c r="D19" s="88">
        <f>IF($B19&lt;=D$7+0.005,NA(),((DCF!$C$21/(1+$B19)^DCF!$C$29+DCF!$D$21/(1+$B19)^DCF!$D$29+DCF!$E$21/(1+$B19)^DCF!$E$29+DCF!$F$21/(1+$B19)^DCF!$F$29+DCF!$G$21/(1+$B19)^DCF!$G$29)+'Terminal Value'!$C$20*(1+D$7)/($B19-D$7)/(1+$B19)^'Terminal Value'!$C$39-Historicals!$G$70+Historicals!$G$69)/WACC!$C$22)</f>
        <v/>
      </c>
      <c r="E19" s="88">
        <f>IF($B19&lt;=E$7+0.005,NA(),((DCF!$C$21/(1+$B19)^DCF!$C$29+DCF!$D$21/(1+$B19)^DCF!$D$29+DCF!$E$21/(1+$B19)^DCF!$E$29+DCF!$F$21/(1+$B19)^DCF!$F$29+DCF!$G$21/(1+$B19)^DCF!$G$29)+'Terminal Value'!$C$20*(1+E$7)/($B19-E$7)/(1+$B19)^'Terminal Value'!$C$39-Historicals!$G$70+Historicals!$G$69)/WACC!$C$22)</f>
        <v/>
      </c>
      <c r="F19" s="88">
        <f>IF($B19&lt;=F$7+0.005,NA(),((DCF!$C$21/(1+$B19)^DCF!$C$29+DCF!$D$21/(1+$B19)^DCF!$D$29+DCF!$E$21/(1+$B19)^DCF!$E$29+DCF!$F$21/(1+$B19)^DCF!$F$29+DCF!$G$21/(1+$B19)^DCF!$G$29)+'Terminal Value'!$C$20*(1+F$7)/($B19-F$7)/(1+$B19)^'Terminal Value'!$C$39-Historicals!$G$70+Historicals!$G$69)/WACC!$C$22)</f>
        <v/>
      </c>
      <c r="G19" s="88">
        <f>IF($B19&lt;=G$7+0.005,NA(),((DCF!$C$21/(1+$B19)^DCF!$C$29+DCF!$D$21/(1+$B19)^DCF!$D$29+DCF!$E$21/(1+$B19)^DCF!$E$29+DCF!$F$21/(1+$B19)^DCF!$F$29+DCF!$G$21/(1+$B19)^DCF!$G$29)+'Terminal Value'!$C$20*(1+G$7)/($B19-G$7)/(1+$B19)^'Terminal Value'!$C$39-Historicals!$G$70+Historicals!$G$69)/WACC!$C$22)</f>
        <v/>
      </c>
      <c r="H19" s="88">
        <f>IF($B19&lt;=H$7+0.005,NA(),((DCF!$C$21/(1+$B19)^DCF!$C$29+DCF!$D$21/(1+$B19)^DCF!$D$29+DCF!$E$21/(1+$B19)^DCF!$E$29+DCF!$F$21/(1+$B19)^DCF!$F$29+DCF!$G$21/(1+$B19)^DCF!$G$29)+'Terminal Value'!$C$20*(1+H$7)/($B19-H$7)/(1+$B19)^'Terminal Value'!$C$39-Historicals!$G$70+Historicals!$G$69)/WACC!$C$22)</f>
        <v/>
      </c>
      <c r="I19" s="88">
        <f>IF($B19&lt;=I$7+0.005,NA(),((DCF!$C$21/(1+$B19)^DCF!$C$29+DCF!$D$21/(1+$B19)^DCF!$D$29+DCF!$E$21/(1+$B19)^DCF!$E$29+DCF!$F$21/(1+$B19)^DCF!$F$29+DCF!$G$21/(1+$B19)^DCF!$G$29)+'Terminal Value'!$C$20*(1+I$7)/($B19-I$7)/(1+$B19)^'Terminal Value'!$C$39-Historicals!$G$70+Historicals!$G$69)/WACC!$C$22)</f>
        <v/>
      </c>
    </row>
    <row r="20">
      <c r="B20" s="87" t="n">
        <v>0.1098</v>
      </c>
      <c r="C20" s="88">
        <f>IF($B20&lt;=C$7+0.005,NA(),((DCF!$C$21/(1+$B20)^DCF!$C$29+DCF!$D$21/(1+$B20)^DCF!$D$29+DCF!$E$21/(1+$B20)^DCF!$E$29+DCF!$F$21/(1+$B20)^DCF!$F$29+DCF!$G$21/(1+$B20)^DCF!$G$29)+'Terminal Value'!$C$20*(1+C$7)/($B20-C$7)/(1+$B20)^'Terminal Value'!$C$39-Historicals!$G$70+Historicals!$G$69)/WACC!$C$22)</f>
        <v/>
      </c>
      <c r="D20" s="88">
        <f>IF($B20&lt;=D$7+0.005,NA(),((DCF!$C$21/(1+$B20)^DCF!$C$29+DCF!$D$21/(1+$B20)^DCF!$D$29+DCF!$E$21/(1+$B20)^DCF!$E$29+DCF!$F$21/(1+$B20)^DCF!$F$29+DCF!$G$21/(1+$B20)^DCF!$G$29)+'Terminal Value'!$C$20*(1+D$7)/($B20-D$7)/(1+$B20)^'Terminal Value'!$C$39-Historicals!$G$70+Historicals!$G$69)/WACC!$C$22)</f>
        <v/>
      </c>
      <c r="E20" s="88">
        <f>IF($B20&lt;=E$7+0.005,NA(),((DCF!$C$21/(1+$B20)^DCF!$C$29+DCF!$D$21/(1+$B20)^DCF!$D$29+DCF!$E$21/(1+$B20)^DCF!$E$29+DCF!$F$21/(1+$B20)^DCF!$F$29+DCF!$G$21/(1+$B20)^DCF!$G$29)+'Terminal Value'!$C$20*(1+E$7)/($B20-E$7)/(1+$B20)^'Terminal Value'!$C$39-Historicals!$G$70+Historicals!$G$69)/WACC!$C$22)</f>
        <v/>
      </c>
      <c r="F20" s="88">
        <f>IF($B20&lt;=F$7+0.005,NA(),((DCF!$C$21/(1+$B20)^DCF!$C$29+DCF!$D$21/(1+$B20)^DCF!$D$29+DCF!$E$21/(1+$B20)^DCF!$E$29+DCF!$F$21/(1+$B20)^DCF!$F$29+DCF!$G$21/(1+$B20)^DCF!$G$29)+'Terminal Value'!$C$20*(1+F$7)/($B20-F$7)/(1+$B20)^'Terminal Value'!$C$39-Historicals!$G$70+Historicals!$G$69)/WACC!$C$22)</f>
        <v/>
      </c>
      <c r="G20" s="88">
        <f>IF($B20&lt;=G$7+0.005,NA(),((DCF!$C$21/(1+$B20)^DCF!$C$29+DCF!$D$21/(1+$B20)^DCF!$D$29+DCF!$E$21/(1+$B20)^DCF!$E$29+DCF!$F$21/(1+$B20)^DCF!$F$29+DCF!$G$21/(1+$B20)^DCF!$G$29)+'Terminal Value'!$C$20*(1+G$7)/($B20-G$7)/(1+$B20)^'Terminal Value'!$C$39-Historicals!$G$70+Historicals!$G$69)/WACC!$C$22)</f>
        <v/>
      </c>
      <c r="H20" s="88">
        <f>IF($B20&lt;=H$7+0.005,NA(),((DCF!$C$21/(1+$B20)^DCF!$C$29+DCF!$D$21/(1+$B20)^DCF!$D$29+DCF!$E$21/(1+$B20)^DCF!$E$29+DCF!$F$21/(1+$B20)^DCF!$F$29+DCF!$G$21/(1+$B20)^DCF!$G$29)+'Terminal Value'!$C$20*(1+H$7)/($B20-H$7)/(1+$B20)^'Terminal Value'!$C$39-Historicals!$G$70+Historicals!$G$69)/WACC!$C$22)</f>
        <v/>
      </c>
      <c r="I20" s="88">
        <f>IF($B20&lt;=I$7+0.005,NA(),((DCF!$C$21/(1+$B20)^DCF!$C$29+DCF!$D$21/(1+$B20)^DCF!$D$29+DCF!$E$21/(1+$B20)^DCF!$E$29+DCF!$F$21/(1+$B20)^DCF!$F$29+DCF!$G$21/(1+$B20)^DCF!$G$29)+'Terminal Value'!$C$20*(1+I$7)/($B20-I$7)/(1+$B20)^'Terminal Value'!$C$39-Historicals!$G$70+Historicals!$G$69)/WACC!$C$22)</f>
        <v/>
      </c>
    </row>
    <row r="21">
      <c r="A21" s="20" t="inlineStr">
        <is>
          <t>Base case is the shaded cell. Rows step 0.25% around the base WACC; columns step 0.25% of terminal growth.</t>
        </is>
      </c>
    </row>
    <row r="24">
      <c r="A24" s="84" t="inlineStr">
        <is>
          <t>TABLE B  -  WACC (rows) x TERMINAL EBIT MARGIN (columns)</t>
        </is>
      </c>
    </row>
    <row r="25">
      <c r="A25" s="20" t="inlineStr">
        <is>
          <t>The terminal EBIT margin changes FY2030E EBIT, hence the year-5 cash flow AND the normalised terminal cash flow. Terminal growth is held at the base case.</t>
        </is>
      </c>
    </row>
    <row r="27">
      <c r="B27" s="85" t="inlineStr">
        <is>
          <t>WACC \ margin</t>
        </is>
      </c>
      <c r="C27" s="90" t="n">
        <v>0.133</v>
      </c>
      <c r="D27" s="90" t="n">
        <v>0.148</v>
      </c>
      <c r="E27" s="90" t="n">
        <v>0.163</v>
      </c>
      <c r="F27" s="90" t="n">
        <v>0.178</v>
      </c>
      <c r="G27" s="90" t="n">
        <v>0.193</v>
      </c>
    </row>
    <row r="28">
      <c r="B28" s="87" t="n">
        <v>0.0798</v>
      </c>
      <c r="C28" s="88">
        <f>IF($B28&lt;=Assumptions!$C$38+0.005,NA(),((DCF!$C$21/(1+$B28)^DCF!$C$29+DCF!$D$21/(1+$B28)^DCF!$D$29+DCF!$E$21/(1+$B28)^DCF!$E$29+DCF!$F$21/(1+$B28)^DCF!$F$29)+((DCF!$G$6*C$27*(1-Assumptions!$C$29))+DCF!$G$15+DCF!$G$17+DCF!$G$20)/(1+$B28)^DCF!$G$29+((DCF!$G$6*C$27*(1-Assumptions!$C$29))+DCF!$G$15-DCF!$G$6*'Terminal Value'!$C$18+DCF!$G$20)*(1+Assumptions!$C$38)/($B28-Assumptions!$C$38)/(1+$B28)^'Terminal Value'!$C$39-Historicals!$G$70+Historicals!$G$69)/WACC!$C$22)</f>
        <v/>
      </c>
      <c r="D28" s="88">
        <f>IF($B28&lt;=Assumptions!$C$38+0.005,NA(),((DCF!$C$21/(1+$B28)^DCF!$C$29+DCF!$D$21/(1+$B28)^DCF!$D$29+DCF!$E$21/(1+$B28)^DCF!$E$29+DCF!$F$21/(1+$B28)^DCF!$F$29)+((DCF!$G$6*D$27*(1-Assumptions!$C$29))+DCF!$G$15+DCF!$G$17+DCF!$G$20)/(1+$B28)^DCF!$G$29+((DCF!$G$6*D$27*(1-Assumptions!$C$29))+DCF!$G$15-DCF!$G$6*'Terminal Value'!$C$18+DCF!$G$20)*(1+Assumptions!$C$38)/($B28-Assumptions!$C$38)/(1+$B28)^'Terminal Value'!$C$39-Historicals!$G$70+Historicals!$G$69)/WACC!$C$22)</f>
        <v/>
      </c>
      <c r="E28" s="88">
        <f>IF($B28&lt;=Assumptions!$C$38+0.005,NA(),((DCF!$C$21/(1+$B28)^DCF!$C$29+DCF!$D$21/(1+$B28)^DCF!$D$29+DCF!$E$21/(1+$B28)^DCF!$E$29+DCF!$F$21/(1+$B28)^DCF!$F$29)+((DCF!$G$6*E$27*(1-Assumptions!$C$29))+DCF!$G$15+DCF!$G$17+DCF!$G$20)/(1+$B28)^DCF!$G$29+((DCF!$G$6*E$27*(1-Assumptions!$C$29))+DCF!$G$15-DCF!$G$6*'Terminal Value'!$C$18+DCF!$G$20)*(1+Assumptions!$C$38)/($B28-Assumptions!$C$38)/(1+$B28)^'Terminal Value'!$C$39-Historicals!$G$70+Historicals!$G$69)/WACC!$C$22)</f>
        <v/>
      </c>
      <c r="F28" s="88">
        <f>IF($B28&lt;=Assumptions!$C$38+0.005,NA(),((DCF!$C$21/(1+$B28)^DCF!$C$29+DCF!$D$21/(1+$B28)^DCF!$D$29+DCF!$E$21/(1+$B28)^DCF!$E$29+DCF!$F$21/(1+$B28)^DCF!$F$29)+((DCF!$G$6*F$27*(1-Assumptions!$C$29))+DCF!$G$15+DCF!$G$17+DCF!$G$20)/(1+$B28)^DCF!$G$29+((DCF!$G$6*F$27*(1-Assumptions!$C$29))+DCF!$G$15-DCF!$G$6*'Terminal Value'!$C$18+DCF!$G$20)*(1+Assumptions!$C$38)/($B28-Assumptions!$C$38)/(1+$B28)^'Terminal Value'!$C$39-Historicals!$G$70+Historicals!$G$69)/WACC!$C$22)</f>
        <v/>
      </c>
      <c r="G28" s="88">
        <f>IF($B28&lt;=Assumptions!$C$38+0.005,NA(),((DCF!$C$21/(1+$B28)^DCF!$C$29+DCF!$D$21/(1+$B28)^DCF!$D$29+DCF!$E$21/(1+$B28)^DCF!$E$29+DCF!$F$21/(1+$B28)^DCF!$F$29)+((DCF!$G$6*G$27*(1-Assumptions!$C$29))+DCF!$G$15+DCF!$G$17+DCF!$G$20)/(1+$B28)^DCF!$G$29+((DCF!$G$6*G$27*(1-Assumptions!$C$29))+DCF!$G$15-DCF!$G$6*'Terminal Value'!$C$18+DCF!$G$20)*(1+Assumptions!$C$38)/($B28-Assumptions!$C$38)/(1+$B28)^'Terminal Value'!$C$39-Historicals!$G$70+Historicals!$G$69)/WACC!$C$22)</f>
        <v/>
      </c>
    </row>
    <row r="29">
      <c r="B29" s="87" t="n">
        <v>0.0823</v>
      </c>
      <c r="C29" s="88">
        <f>IF($B29&lt;=Assumptions!$C$38+0.005,NA(),((DCF!$C$21/(1+$B29)^DCF!$C$29+DCF!$D$21/(1+$B29)^DCF!$D$29+DCF!$E$21/(1+$B29)^DCF!$E$29+DCF!$F$21/(1+$B29)^DCF!$F$29)+((DCF!$G$6*C$27*(1-Assumptions!$C$29))+DCF!$G$15+DCF!$G$17+DCF!$G$20)/(1+$B29)^DCF!$G$29+((DCF!$G$6*C$27*(1-Assumptions!$C$29))+DCF!$G$15-DCF!$G$6*'Terminal Value'!$C$18+DCF!$G$20)*(1+Assumptions!$C$38)/($B29-Assumptions!$C$38)/(1+$B29)^'Terminal Value'!$C$39-Historicals!$G$70+Historicals!$G$69)/WACC!$C$22)</f>
        <v/>
      </c>
      <c r="D29" s="88">
        <f>IF($B29&lt;=Assumptions!$C$38+0.005,NA(),((DCF!$C$21/(1+$B29)^DCF!$C$29+DCF!$D$21/(1+$B29)^DCF!$D$29+DCF!$E$21/(1+$B29)^DCF!$E$29+DCF!$F$21/(1+$B29)^DCF!$F$29)+((DCF!$G$6*D$27*(1-Assumptions!$C$29))+DCF!$G$15+DCF!$G$17+DCF!$G$20)/(1+$B29)^DCF!$G$29+((DCF!$G$6*D$27*(1-Assumptions!$C$29))+DCF!$G$15-DCF!$G$6*'Terminal Value'!$C$18+DCF!$G$20)*(1+Assumptions!$C$38)/($B29-Assumptions!$C$38)/(1+$B29)^'Terminal Value'!$C$39-Historicals!$G$70+Historicals!$G$69)/WACC!$C$22)</f>
        <v/>
      </c>
      <c r="E29" s="88">
        <f>IF($B29&lt;=Assumptions!$C$38+0.005,NA(),((DCF!$C$21/(1+$B29)^DCF!$C$29+DCF!$D$21/(1+$B29)^DCF!$D$29+DCF!$E$21/(1+$B29)^DCF!$E$29+DCF!$F$21/(1+$B29)^DCF!$F$29)+((DCF!$G$6*E$27*(1-Assumptions!$C$29))+DCF!$G$15+DCF!$G$17+DCF!$G$20)/(1+$B29)^DCF!$G$29+((DCF!$G$6*E$27*(1-Assumptions!$C$29))+DCF!$G$15-DCF!$G$6*'Terminal Value'!$C$18+DCF!$G$20)*(1+Assumptions!$C$38)/($B29-Assumptions!$C$38)/(1+$B29)^'Terminal Value'!$C$39-Historicals!$G$70+Historicals!$G$69)/WACC!$C$22)</f>
        <v/>
      </c>
      <c r="F29" s="88">
        <f>IF($B29&lt;=Assumptions!$C$38+0.005,NA(),((DCF!$C$21/(1+$B29)^DCF!$C$29+DCF!$D$21/(1+$B29)^DCF!$D$29+DCF!$E$21/(1+$B29)^DCF!$E$29+DCF!$F$21/(1+$B29)^DCF!$F$29)+((DCF!$G$6*F$27*(1-Assumptions!$C$29))+DCF!$G$15+DCF!$G$17+DCF!$G$20)/(1+$B29)^DCF!$G$29+((DCF!$G$6*F$27*(1-Assumptions!$C$29))+DCF!$G$15-DCF!$G$6*'Terminal Value'!$C$18+DCF!$G$20)*(1+Assumptions!$C$38)/($B29-Assumptions!$C$38)/(1+$B29)^'Terminal Value'!$C$39-Historicals!$G$70+Historicals!$G$69)/WACC!$C$22)</f>
        <v/>
      </c>
      <c r="G29" s="88">
        <f>IF($B29&lt;=Assumptions!$C$38+0.005,NA(),((DCF!$C$21/(1+$B29)^DCF!$C$29+DCF!$D$21/(1+$B29)^DCF!$D$29+DCF!$E$21/(1+$B29)^DCF!$E$29+DCF!$F$21/(1+$B29)^DCF!$F$29)+((DCF!$G$6*G$27*(1-Assumptions!$C$29))+DCF!$G$15+DCF!$G$17+DCF!$G$20)/(1+$B29)^DCF!$G$29+((DCF!$G$6*G$27*(1-Assumptions!$C$29))+DCF!$G$15-DCF!$G$6*'Terminal Value'!$C$18+DCF!$G$20)*(1+Assumptions!$C$38)/($B29-Assumptions!$C$38)/(1+$B29)^'Terminal Value'!$C$39-Historicals!$G$70+Historicals!$G$69)/WACC!$C$22)</f>
        <v/>
      </c>
    </row>
    <row r="30">
      <c r="B30" s="87" t="n">
        <v>0.0848</v>
      </c>
      <c r="C30" s="88">
        <f>IF($B30&lt;=Assumptions!$C$38+0.005,NA(),((DCF!$C$21/(1+$B30)^DCF!$C$29+DCF!$D$21/(1+$B30)^DCF!$D$29+DCF!$E$21/(1+$B30)^DCF!$E$29+DCF!$F$21/(1+$B30)^DCF!$F$29)+((DCF!$G$6*C$27*(1-Assumptions!$C$29))+DCF!$G$15+DCF!$G$17+DCF!$G$20)/(1+$B30)^DCF!$G$29+((DCF!$G$6*C$27*(1-Assumptions!$C$29))+DCF!$G$15-DCF!$G$6*'Terminal Value'!$C$18+DCF!$G$20)*(1+Assumptions!$C$38)/($B30-Assumptions!$C$38)/(1+$B30)^'Terminal Value'!$C$39-Historicals!$G$70+Historicals!$G$69)/WACC!$C$22)</f>
        <v/>
      </c>
      <c r="D30" s="88">
        <f>IF($B30&lt;=Assumptions!$C$38+0.005,NA(),((DCF!$C$21/(1+$B30)^DCF!$C$29+DCF!$D$21/(1+$B30)^DCF!$D$29+DCF!$E$21/(1+$B30)^DCF!$E$29+DCF!$F$21/(1+$B30)^DCF!$F$29)+((DCF!$G$6*D$27*(1-Assumptions!$C$29))+DCF!$G$15+DCF!$G$17+DCF!$G$20)/(1+$B30)^DCF!$G$29+((DCF!$G$6*D$27*(1-Assumptions!$C$29))+DCF!$G$15-DCF!$G$6*'Terminal Value'!$C$18+DCF!$G$20)*(1+Assumptions!$C$38)/($B30-Assumptions!$C$38)/(1+$B30)^'Terminal Value'!$C$39-Historicals!$G$70+Historicals!$G$69)/WACC!$C$22)</f>
        <v/>
      </c>
      <c r="E30" s="88">
        <f>IF($B30&lt;=Assumptions!$C$38+0.005,NA(),((DCF!$C$21/(1+$B30)^DCF!$C$29+DCF!$D$21/(1+$B30)^DCF!$D$29+DCF!$E$21/(1+$B30)^DCF!$E$29+DCF!$F$21/(1+$B30)^DCF!$F$29)+((DCF!$G$6*E$27*(1-Assumptions!$C$29))+DCF!$G$15+DCF!$G$17+DCF!$G$20)/(1+$B30)^DCF!$G$29+((DCF!$G$6*E$27*(1-Assumptions!$C$29))+DCF!$G$15-DCF!$G$6*'Terminal Value'!$C$18+DCF!$G$20)*(1+Assumptions!$C$38)/($B30-Assumptions!$C$38)/(1+$B30)^'Terminal Value'!$C$39-Historicals!$G$70+Historicals!$G$69)/WACC!$C$22)</f>
        <v/>
      </c>
      <c r="F30" s="88">
        <f>IF($B30&lt;=Assumptions!$C$38+0.005,NA(),((DCF!$C$21/(1+$B30)^DCF!$C$29+DCF!$D$21/(1+$B30)^DCF!$D$29+DCF!$E$21/(1+$B30)^DCF!$E$29+DCF!$F$21/(1+$B30)^DCF!$F$29)+((DCF!$G$6*F$27*(1-Assumptions!$C$29))+DCF!$G$15+DCF!$G$17+DCF!$G$20)/(1+$B30)^DCF!$G$29+((DCF!$G$6*F$27*(1-Assumptions!$C$29))+DCF!$G$15-DCF!$G$6*'Terminal Value'!$C$18+DCF!$G$20)*(1+Assumptions!$C$38)/($B30-Assumptions!$C$38)/(1+$B30)^'Terminal Value'!$C$39-Historicals!$G$70+Historicals!$G$69)/WACC!$C$22)</f>
        <v/>
      </c>
      <c r="G30" s="88">
        <f>IF($B30&lt;=Assumptions!$C$38+0.005,NA(),((DCF!$C$21/(1+$B30)^DCF!$C$29+DCF!$D$21/(1+$B30)^DCF!$D$29+DCF!$E$21/(1+$B30)^DCF!$E$29+DCF!$F$21/(1+$B30)^DCF!$F$29)+((DCF!$G$6*G$27*(1-Assumptions!$C$29))+DCF!$G$15+DCF!$G$17+DCF!$G$20)/(1+$B30)^DCF!$G$29+((DCF!$G$6*G$27*(1-Assumptions!$C$29))+DCF!$G$15-DCF!$G$6*'Terminal Value'!$C$18+DCF!$G$20)*(1+Assumptions!$C$38)/($B30-Assumptions!$C$38)/(1+$B30)^'Terminal Value'!$C$39-Historicals!$G$70+Historicals!$G$69)/WACC!$C$22)</f>
        <v/>
      </c>
    </row>
    <row r="31">
      <c r="B31" s="87" t="n">
        <v>0.0873</v>
      </c>
      <c r="C31" s="88">
        <f>IF($B31&lt;=Assumptions!$C$38+0.005,NA(),((DCF!$C$21/(1+$B31)^DCF!$C$29+DCF!$D$21/(1+$B31)^DCF!$D$29+DCF!$E$21/(1+$B31)^DCF!$E$29+DCF!$F$21/(1+$B31)^DCF!$F$29)+((DCF!$G$6*C$27*(1-Assumptions!$C$29))+DCF!$G$15+DCF!$G$17+DCF!$G$20)/(1+$B31)^DCF!$G$29+((DCF!$G$6*C$27*(1-Assumptions!$C$29))+DCF!$G$15-DCF!$G$6*'Terminal Value'!$C$18+DCF!$G$20)*(1+Assumptions!$C$38)/($B31-Assumptions!$C$38)/(1+$B31)^'Terminal Value'!$C$39-Historicals!$G$70+Historicals!$G$69)/WACC!$C$22)</f>
        <v/>
      </c>
      <c r="D31" s="88">
        <f>IF($B31&lt;=Assumptions!$C$38+0.005,NA(),((DCF!$C$21/(1+$B31)^DCF!$C$29+DCF!$D$21/(1+$B31)^DCF!$D$29+DCF!$E$21/(1+$B31)^DCF!$E$29+DCF!$F$21/(1+$B31)^DCF!$F$29)+((DCF!$G$6*D$27*(1-Assumptions!$C$29))+DCF!$G$15+DCF!$G$17+DCF!$G$20)/(1+$B31)^DCF!$G$29+((DCF!$G$6*D$27*(1-Assumptions!$C$29))+DCF!$G$15-DCF!$G$6*'Terminal Value'!$C$18+DCF!$G$20)*(1+Assumptions!$C$38)/($B31-Assumptions!$C$38)/(1+$B31)^'Terminal Value'!$C$39-Historicals!$G$70+Historicals!$G$69)/WACC!$C$22)</f>
        <v/>
      </c>
      <c r="E31" s="88">
        <f>IF($B31&lt;=Assumptions!$C$38+0.005,NA(),((DCF!$C$21/(1+$B31)^DCF!$C$29+DCF!$D$21/(1+$B31)^DCF!$D$29+DCF!$E$21/(1+$B31)^DCF!$E$29+DCF!$F$21/(1+$B31)^DCF!$F$29)+((DCF!$G$6*E$27*(1-Assumptions!$C$29))+DCF!$G$15+DCF!$G$17+DCF!$G$20)/(1+$B31)^DCF!$G$29+((DCF!$G$6*E$27*(1-Assumptions!$C$29))+DCF!$G$15-DCF!$G$6*'Terminal Value'!$C$18+DCF!$G$20)*(1+Assumptions!$C$38)/($B31-Assumptions!$C$38)/(1+$B31)^'Terminal Value'!$C$39-Historicals!$G$70+Historicals!$G$69)/WACC!$C$22)</f>
        <v/>
      </c>
      <c r="F31" s="88">
        <f>IF($B31&lt;=Assumptions!$C$38+0.005,NA(),((DCF!$C$21/(1+$B31)^DCF!$C$29+DCF!$D$21/(1+$B31)^DCF!$D$29+DCF!$E$21/(1+$B31)^DCF!$E$29+DCF!$F$21/(1+$B31)^DCF!$F$29)+((DCF!$G$6*F$27*(1-Assumptions!$C$29))+DCF!$G$15+DCF!$G$17+DCF!$G$20)/(1+$B31)^DCF!$G$29+((DCF!$G$6*F$27*(1-Assumptions!$C$29))+DCF!$G$15-DCF!$G$6*'Terminal Value'!$C$18+DCF!$G$20)*(1+Assumptions!$C$38)/($B31-Assumptions!$C$38)/(1+$B31)^'Terminal Value'!$C$39-Historicals!$G$70+Historicals!$G$69)/WACC!$C$22)</f>
        <v/>
      </c>
      <c r="G31" s="88">
        <f>IF($B31&lt;=Assumptions!$C$38+0.005,NA(),((DCF!$C$21/(1+$B31)^DCF!$C$29+DCF!$D$21/(1+$B31)^DCF!$D$29+DCF!$E$21/(1+$B31)^DCF!$E$29+DCF!$F$21/(1+$B31)^DCF!$F$29)+((DCF!$G$6*G$27*(1-Assumptions!$C$29))+DCF!$G$15+DCF!$G$17+DCF!$G$20)/(1+$B31)^DCF!$G$29+((DCF!$G$6*G$27*(1-Assumptions!$C$29))+DCF!$G$15-DCF!$G$6*'Terminal Value'!$C$18+DCF!$G$20)*(1+Assumptions!$C$38)/($B31-Assumptions!$C$38)/(1+$B31)^'Terminal Value'!$C$39-Historicals!$G$70+Historicals!$G$69)/WACC!$C$22)</f>
        <v/>
      </c>
    </row>
    <row r="32">
      <c r="B32" s="87" t="n">
        <v>0.0898</v>
      </c>
      <c r="C32" s="88">
        <f>IF($B32&lt;=Assumptions!$C$38+0.005,NA(),((DCF!$C$21/(1+$B32)^DCF!$C$29+DCF!$D$21/(1+$B32)^DCF!$D$29+DCF!$E$21/(1+$B32)^DCF!$E$29+DCF!$F$21/(1+$B32)^DCF!$F$29)+((DCF!$G$6*C$27*(1-Assumptions!$C$29))+DCF!$G$15+DCF!$G$17+DCF!$G$20)/(1+$B32)^DCF!$G$29+((DCF!$G$6*C$27*(1-Assumptions!$C$29))+DCF!$G$15-DCF!$G$6*'Terminal Value'!$C$18+DCF!$G$20)*(1+Assumptions!$C$38)/($B32-Assumptions!$C$38)/(1+$B32)^'Terminal Value'!$C$39-Historicals!$G$70+Historicals!$G$69)/WACC!$C$22)</f>
        <v/>
      </c>
      <c r="D32" s="88">
        <f>IF($B32&lt;=Assumptions!$C$38+0.005,NA(),((DCF!$C$21/(1+$B32)^DCF!$C$29+DCF!$D$21/(1+$B32)^DCF!$D$29+DCF!$E$21/(1+$B32)^DCF!$E$29+DCF!$F$21/(1+$B32)^DCF!$F$29)+((DCF!$G$6*D$27*(1-Assumptions!$C$29))+DCF!$G$15+DCF!$G$17+DCF!$G$20)/(1+$B32)^DCF!$G$29+((DCF!$G$6*D$27*(1-Assumptions!$C$29))+DCF!$G$15-DCF!$G$6*'Terminal Value'!$C$18+DCF!$G$20)*(1+Assumptions!$C$38)/($B32-Assumptions!$C$38)/(1+$B32)^'Terminal Value'!$C$39-Historicals!$G$70+Historicals!$G$69)/WACC!$C$22)</f>
        <v/>
      </c>
      <c r="E32" s="88">
        <f>IF($B32&lt;=Assumptions!$C$38+0.005,NA(),((DCF!$C$21/(1+$B32)^DCF!$C$29+DCF!$D$21/(1+$B32)^DCF!$D$29+DCF!$E$21/(1+$B32)^DCF!$E$29+DCF!$F$21/(1+$B32)^DCF!$F$29)+((DCF!$G$6*E$27*(1-Assumptions!$C$29))+DCF!$G$15+DCF!$G$17+DCF!$G$20)/(1+$B32)^DCF!$G$29+((DCF!$G$6*E$27*(1-Assumptions!$C$29))+DCF!$G$15-DCF!$G$6*'Terminal Value'!$C$18+DCF!$G$20)*(1+Assumptions!$C$38)/($B32-Assumptions!$C$38)/(1+$B32)^'Terminal Value'!$C$39-Historicals!$G$70+Historicals!$G$69)/WACC!$C$22)</f>
        <v/>
      </c>
      <c r="F32" s="88">
        <f>IF($B32&lt;=Assumptions!$C$38+0.005,NA(),((DCF!$C$21/(1+$B32)^DCF!$C$29+DCF!$D$21/(1+$B32)^DCF!$D$29+DCF!$E$21/(1+$B32)^DCF!$E$29+DCF!$F$21/(1+$B32)^DCF!$F$29)+((DCF!$G$6*F$27*(1-Assumptions!$C$29))+DCF!$G$15+DCF!$G$17+DCF!$G$20)/(1+$B32)^DCF!$G$29+((DCF!$G$6*F$27*(1-Assumptions!$C$29))+DCF!$G$15-DCF!$G$6*'Terminal Value'!$C$18+DCF!$G$20)*(1+Assumptions!$C$38)/($B32-Assumptions!$C$38)/(1+$B32)^'Terminal Value'!$C$39-Historicals!$G$70+Historicals!$G$69)/WACC!$C$22)</f>
        <v/>
      </c>
      <c r="G32" s="88">
        <f>IF($B32&lt;=Assumptions!$C$38+0.005,NA(),((DCF!$C$21/(1+$B32)^DCF!$C$29+DCF!$D$21/(1+$B32)^DCF!$D$29+DCF!$E$21/(1+$B32)^DCF!$E$29+DCF!$F$21/(1+$B32)^DCF!$F$29)+((DCF!$G$6*G$27*(1-Assumptions!$C$29))+DCF!$G$15+DCF!$G$17+DCF!$G$20)/(1+$B32)^DCF!$G$29+((DCF!$G$6*G$27*(1-Assumptions!$C$29))+DCF!$G$15-DCF!$G$6*'Terminal Value'!$C$18+DCF!$G$20)*(1+Assumptions!$C$38)/($B32-Assumptions!$C$38)/(1+$B32)^'Terminal Value'!$C$39-Historicals!$G$70+Historicals!$G$69)/WACC!$C$22)</f>
        <v/>
      </c>
    </row>
    <row r="33">
      <c r="B33" s="87" t="n">
        <v>0.09229999999999999</v>
      </c>
      <c r="C33" s="88">
        <f>IF($B33&lt;=Assumptions!$C$38+0.005,NA(),((DCF!$C$21/(1+$B33)^DCF!$C$29+DCF!$D$21/(1+$B33)^DCF!$D$29+DCF!$E$21/(1+$B33)^DCF!$E$29+DCF!$F$21/(1+$B33)^DCF!$F$29)+((DCF!$G$6*C$27*(1-Assumptions!$C$29))+DCF!$G$15+DCF!$G$17+DCF!$G$20)/(1+$B33)^DCF!$G$29+((DCF!$G$6*C$27*(1-Assumptions!$C$29))+DCF!$G$15-DCF!$G$6*'Terminal Value'!$C$18+DCF!$G$20)*(1+Assumptions!$C$38)/($B33-Assumptions!$C$38)/(1+$B33)^'Terminal Value'!$C$39-Historicals!$G$70+Historicals!$G$69)/WACC!$C$22)</f>
        <v/>
      </c>
      <c r="D33" s="88">
        <f>IF($B33&lt;=Assumptions!$C$38+0.005,NA(),((DCF!$C$21/(1+$B33)^DCF!$C$29+DCF!$D$21/(1+$B33)^DCF!$D$29+DCF!$E$21/(1+$B33)^DCF!$E$29+DCF!$F$21/(1+$B33)^DCF!$F$29)+((DCF!$G$6*D$27*(1-Assumptions!$C$29))+DCF!$G$15+DCF!$G$17+DCF!$G$20)/(1+$B33)^DCF!$G$29+((DCF!$G$6*D$27*(1-Assumptions!$C$29))+DCF!$G$15-DCF!$G$6*'Terminal Value'!$C$18+DCF!$G$20)*(1+Assumptions!$C$38)/($B33-Assumptions!$C$38)/(1+$B33)^'Terminal Value'!$C$39-Historicals!$G$70+Historicals!$G$69)/WACC!$C$22)</f>
        <v/>
      </c>
      <c r="E33" s="88">
        <f>IF($B33&lt;=Assumptions!$C$38+0.005,NA(),((DCF!$C$21/(1+$B33)^DCF!$C$29+DCF!$D$21/(1+$B33)^DCF!$D$29+DCF!$E$21/(1+$B33)^DCF!$E$29+DCF!$F$21/(1+$B33)^DCF!$F$29)+((DCF!$G$6*E$27*(1-Assumptions!$C$29))+DCF!$G$15+DCF!$G$17+DCF!$G$20)/(1+$B33)^DCF!$G$29+((DCF!$G$6*E$27*(1-Assumptions!$C$29))+DCF!$G$15-DCF!$G$6*'Terminal Value'!$C$18+DCF!$G$20)*(1+Assumptions!$C$38)/($B33-Assumptions!$C$38)/(1+$B33)^'Terminal Value'!$C$39-Historicals!$G$70+Historicals!$G$69)/WACC!$C$22)</f>
        <v/>
      </c>
      <c r="F33" s="88">
        <f>IF($B33&lt;=Assumptions!$C$38+0.005,NA(),((DCF!$C$21/(1+$B33)^DCF!$C$29+DCF!$D$21/(1+$B33)^DCF!$D$29+DCF!$E$21/(1+$B33)^DCF!$E$29+DCF!$F$21/(1+$B33)^DCF!$F$29)+((DCF!$G$6*F$27*(1-Assumptions!$C$29))+DCF!$G$15+DCF!$G$17+DCF!$G$20)/(1+$B33)^DCF!$G$29+((DCF!$G$6*F$27*(1-Assumptions!$C$29))+DCF!$G$15-DCF!$G$6*'Terminal Value'!$C$18+DCF!$G$20)*(1+Assumptions!$C$38)/($B33-Assumptions!$C$38)/(1+$B33)^'Terminal Value'!$C$39-Historicals!$G$70+Historicals!$G$69)/WACC!$C$22)</f>
        <v/>
      </c>
      <c r="G33" s="88">
        <f>IF($B33&lt;=Assumptions!$C$38+0.005,NA(),((DCF!$C$21/(1+$B33)^DCF!$C$29+DCF!$D$21/(1+$B33)^DCF!$D$29+DCF!$E$21/(1+$B33)^DCF!$E$29+DCF!$F$21/(1+$B33)^DCF!$F$29)+((DCF!$G$6*G$27*(1-Assumptions!$C$29))+DCF!$G$15+DCF!$G$17+DCF!$G$20)/(1+$B33)^DCF!$G$29+((DCF!$G$6*G$27*(1-Assumptions!$C$29))+DCF!$G$15-DCF!$G$6*'Terminal Value'!$C$18+DCF!$G$20)*(1+Assumptions!$C$38)/($B33-Assumptions!$C$38)/(1+$B33)^'Terminal Value'!$C$39-Historicals!$G$70+Historicals!$G$69)/WACC!$C$22)</f>
        <v/>
      </c>
    </row>
    <row r="34">
      <c r="B34" s="87" t="n">
        <v>0.0948</v>
      </c>
      <c r="C34" s="88">
        <f>IF($B34&lt;=Assumptions!$C$38+0.005,NA(),((DCF!$C$21/(1+$B34)^DCF!$C$29+DCF!$D$21/(1+$B34)^DCF!$D$29+DCF!$E$21/(1+$B34)^DCF!$E$29+DCF!$F$21/(1+$B34)^DCF!$F$29)+((DCF!$G$6*C$27*(1-Assumptions!$C$29))+DCF!$G$15+DCF!$G$17+DCF!$G$20)/(1+$B34)^DCF!$G$29+((DCF!$G$6*C$27*(1-Assumptions!$C$29))+DCF!$G$15-DCF!$G$6*'Terminal Value'!$C$18+DCF!$G$20)*(1+Assumptions!$C$38)/($B34-Assumptions!$C$38)/(1+$B34)^'Terminal Value'!$C$39-Historicals!$G$70+Historicals!$G$69)/WACC!$C$22)</f>
        <v/>
      </c>
      <c r="D34" s="88">
        <f>IF($B34&lt;=Assumptions!$C$38+0.005,NA(),((DCF!$C$21/(1+$B34)^DCF!$C$29+DCF!$D$21/(1+$B34)^DCF!$D$29+DCF!$E$21/(1+$B34)^DCF!$E$29+DCF!$F$21/(1+$B34)^DCF!$F$29)+((DCF!$G$6*D$27*(1-Assumptions!$C$29))+DCF!$G$15+DCF!$G$17+DCF!$G$20)/(1+$B34)^DCF!$G$29+((DCF!$G$6*D$27*(1-Assumptions!$C$29))+DCF!$G$15-DCF!$G$6*'Terminal Value'!$C$18+DCF!$G$20)*(1+Assumptions!$C$38)/($B34-Assumptions!$C$38)/(1+$B34)^'Terminal Value'!$C$39-Historicals!$G$70+Historicals!$G$69)/WACC!$C$22)</f>
        <v/>
      </c>
      <c r="E34" s="89">
        <f>IF($B34&lt;=Assumptions!$C$38+0.005,NA(),((DCF!$C$21/(1+$B34)^DCF!$C$29+DCF!$D$21/(1+$B34)^DCF!$D$29+DCF!$E$21/(1+$B34)^DCF!$E$29+DCF!$F$21/(1+$B34)^DCF!$F$29)+((DCF!$G$6*E$27*(1-Assumptions!$C$29))+DCF!$G$15+DCF!$G$17+DCF!$G$20)/(1+$B34)^DCF!$G$29+((DCF!$G$6*E$27*(1-Assumptions!$C$29))+DCF!$G$15-DCF!$G$6*'Terminal Value'!$C$18+DCF!$G$20)*(1+Assumptions!$C$38)/($B34-Assumptions!$C$38)/(1+$B34)^'Terminal Value'!$C$39-Historicals!$G$70+Historicals!$G$69)/WACC!$C$22)</f>
        <v/>
      </c>
      <c r="F34" s="88">
        <f>IF($B34&lt;=Assumptions!$C$38+0.005,NA(),((DCF!$C$21/(1+$B34)^DCF!$C$29+DCF!$D$21/(1+$B34)^DCF!$D$29+DCF!$E$21/(1+$B34)^DCF!$E$29+DCF!$F$21/(1+$B34)^DCF!$F$29)+((DCF!$G$6*F$27*(1-Assumptions!$C$29))+DCF!$G$15+DCF!$G$17+DCF!$G$20)/(1+$B34)^DCF!$G$29+((DCF!$G$6*F$27*(1-Assumptions!$C$29))+DCF!$G$15-DCF!$G$6*'Terminal Value'!$C$18+DCF!$G$20)*(1+Assumptions!$C$38)/($B34-Assumptions!$C$38)/(1+$B34)^'Terminal Value'!$C$39-Historicals!$G$70+Historicals!$G$69)/WACC!$C$22)</f>
        <v/>
      </c>
      <c r="G34" s="88">
        <f>IF($B34&lt;=Assumptions!$C$38+0.005,NA(),((DCF!$C$21/(1+$B34)^DCF!$C$29+DCF!$D$21/(1+$B34)^DCF!$D$29+DCF!$E$21/(1+$B34)^DCF!$E$29+DCF!$F$21/(1+$B34)^DCF!$F$29)+((DCF!$G$6*G$27*(1-Assumptions!$C$29))+DCF!$G$15+DCF!$G$17+DCF!$G$20)/(1+$B34)^DCF!$G$29+((DCF!$G$6*G$27*(1-Assumptions!$C$29))+DCF!$G$15-DCF!$G$6*'Terminal Value'!$C$18+DCF!$G$20)*(1+Assumptions!$C$38)/($B34-Assumptions!$C$38)/(1+$B34)^'Terminal Value'!$C$39-Historicals!$G$70+Historicals!$G$69)/WACC!$C$22)</f>
        <v/>
      </c>
    </row>
    <row r="35">
      <c r="B35" s="87" t="n">
        <v>0.0973</v>
      </c>
      <c r="C35" s="88">
        <f>IF($B35&lt;=Assumptions!$C$38+0.005,NA(),((DCF!$C$21/(1+$B35)^DCF!$C$29+DCF!$D$21/(1+$B35)^DCF!$D$29+DCF!$E$21/(1+$B35)^DCF!$E$29+DCF!$F$21/(1+$B35)^DCF!$F$29)+((DCF!$G$6*C$27*(1-Assumptions!$C$29))+DCF!$G$15+DCF!$G$17+DCF!$G$20)/(1+$B35)^DCF!$G$29+((DCF!$G$6*C$27*(1-Assumptions!$C$29))+DCF!$G$15-DCF!$G$6*'Terminal Value'!$C$18+DCF!$G$20)*(1+Assumptions!$C$38)/($B35-Assumptions!$C$38)/(1+$B35)^'Terminal Value'!$C$39-Historicals!$G$70+Historicals!$G$69)/WACC!$C$22)</f>
        <v/>
      </c>
      <c r="D35" s="88">
        <f>IF($B35&lt;=Assumptions!$C$38+0.005,NA(),((DCF!$C$21/(1+$B35)^DCF!$C$29+DCF!$D$21/(1+$B35)^DCF!$D$29+DCF!$E$21/(1+$B35)^DCF!$E$29+DCF!$F$21/(1+$B35)^DCF!$F$29)+((DCF!$G$6*D$27*(1-Assumptions!$C$29))+DCF!$G$15+DCF!$G$17+DCF!$G$20)/(1+$B35)^DCF!$G$29+((DCF!$G$6*D$27*(1-Assumptions!$C$29))+DCF!$G$15-DCF!$G$6*'Terminal Value'!$C$18+DCF!$G$20)*(1+Assumptions!$C$38)/($B35-Assumptions!$C$38)/(1+$B35)^'Terminal Value'!$C$39-Historicals!$G$70+Historicals!$G$69)/WACC!$C$22)</f>
        <v/>
      </c>
      <c r="E35" s="88">
        <f>IF($B35&lt;=Assumptions!$C$38+0.005,NA(),((DCF!$C$21/(1+$B35)^DCF!$C$29+DCF!$D$21/(1+$B35)^DCF!$D$29+DCF!$E$21/(1+$B35)^DCF!$E$29+DCF!$F$21/(1+$B35)^DCF!$F$29)+((DCF!$G$6*E$27*(1-Assumptions!$C$29))+DCF!$G$15+DCF!$G$17+DCF!$G$20)/(1+$B35)^DCF!$G$29+((DCF!$G$6*E$27*(1-Assumptions!$C$29))+DCF!$G$15-DCF!$G$6*'Terminal Value'!$C$18+DCF!$G$20)*(1+Assumptions!$C$38)/($B35-Assumptions!$C$38)/(1+$B35)^'Terminal Value'!$C$39-Historicals!$G$70+Historicals!$G$69)/WACC!$C$22)</f>
        <v/>
      </c>
      <c r="F35" s="88">
        <f>IF($B35&lt;=Assumptions!$C$38+0.005,NA(),((DCF!$C$21/(1+$B35)^DCF!$C$29+DCF!$D$21/(1+$B35)^DCF!$D$29+DCF!$E$21/(1+$B35)^DCF!$E$29+DCF!$F$21/(1+$B35)^DCF!$F$29)+((DCF!$G$6*F$27*(1-Assumptions!$C$29))+DCF!$G$15+DCF!$G$17+DCF!$G$20)/(1+$B35)^DCF!$G$29+((DCF!$G$6*F$27*(1-Assumptions!$C$29))+DCF!$G$15-DCF!$G$6*'Terminal Value'!$C$18+DCF!$G$20)*(1+Assumptions!$C$38)/($B35-Assumptions!$C$38)/(1+$B35)^'Terminal Value'!$C$39-Historicals!$G$70+Historicals!$G$69)/WACC!$C$22)</f>
        <v/>
      </c>
      <c r="G35" s="88">
        <f>IF($B35&lt;=Assumptions!$C$38+0.005,NA(),((DCF!$C$21/(1+$B35)^DCF!$C$29+DCF!$D$21/(1+$B35)^DCF!$D$29+DCF!$E$21/(1+$B35)^DCF!$E$29+DCF!$F$21/(1+$B35)^DCF!$F$29)+((DCF!$G$6*G$27*(1-Assumptions!$C$29))+DCF!$G$15+DCF!$G$17+DCF!$G$20)/(1+$B35)^DCF!$G$29+((DCF!$G$6*G$27*(1-Assumptions!$C$29))+DCF!$G$15-DCF!$G$6*'Terminal Value'!$C$18+DCF!$G$20)*(1+Assumptions!$C$38)/($B35-Assumptions!$C$38)/(1+$B35)^'Terminal Value'!$C$39-Historicals!$G$70+Historicals!$G$69)/WACC!$C$22)</f>
        <v/>
      </c>
    </row>
    <row r="36">
      <c r="B36" s="87" t="n">
        <v>0.0998</v>
      </c>
      <c r="C36" s="88">
        <f>IF($B36&lt;=Assumptions!$C$38+0.005,NA(),((DCF!$C$21/(1+$B36)^DCF!$C$29+DCF!$D$21/(1+$B36)^DCF!$D$29+DCF!$E$21/(1+$B36)^DCF!$E$29+DCF!$F$21/(1+$B36)^DCF!$F$29)+((DCF!$G$6*C$27*(1-Assumptions!$C$29))+DCF!$G$15+DCF!$G$17+DCF!$G$20)/(1+$B36)^DCF!$G$29+((DCF!$G$6*C$27*(1-Assumptions!$C$29))+DCF!$G$15-DCF!$G$6*'Terminal Value'!$C$18+DCF!$G$20)*(1+Assumptions!$C$38)/($B36-Assumptions!$C$38)/(1+$B36)^'Terminal Value'!$C$39-Historicals!$G$70+Historicals!$G$69)/WACC!$C$22)</f>
        <v/>
      </c>
      <c r="D36" s="88">
        <f>IF($B36&lt;=Assumptions!$C$38+0.005,NA(),((DCF!$C$21/(1+$B36)^DCF!$C$29+DCF!$D$21/(1+$B36)^DCF!$D$29+DCF!$E$21/(1+$B36)^DCF!$E$29+DCF!$F$21/(1+$B36)^DCF!$F$29)+((DCF!$G$6*D$27*(1-Assumptions!$C$29))+DCF!$G$15+DCF!$G$17+DCF!$G$20)/(1+$B36)^DCF!$G$29+((DCF!$G$6*D$27*(1-Assumptions!$C$29))+DCF!$G$15-DCF!$G$6*'Terminal Value'!$C$18+DCF!$G$20)*(1+Assumptions!$C$38)/($B36-Assumptions!$C$38)/(1+$B36)^'Terminal Value'!$C$39-Historicals!$G$70+Historicals!$G$69)/WACC!$C$22)</f>
        <v/>
      </c>
      <c r="E36" s="88">
        <f>IF($B36&lt;=Assumptions!$C$38+0.005,NA(),((DCF!$C$21/(1+$B36)^DCF!$C$29+DCF!$D$21/(1+$B36)^DCF!$D$29+DCF!$E$21/(1+$B36)^DCF!$E$29+DCF!$F$21/(1+$B36)^DCF!$F$29)+((DCF!$G$6*E$27*(1-Assumptions!$C$29))+DCF!$G$15+DCF!$G$17+DCF!$G$20)/(1+$B36)^DCF!$G$29+((DCF!$G$6*E$27*(1-Assumptions!$C$29))+DCF!$G$15-DCF!$G$6*'Terminal Value'!$C$18+DCF!$G$20)*(1+Assumptions!$C$38)/($B36-Assumptions!$C$38)/(1+$B36)^'Terminal Value'!$C$39-Historicals!$G$70+Historicals!$G$69)/WACC!$C$22)</f>
        <v/>
      </c>
      <c r="F36" s="88">
        <f>IF($B36&lt;=Assumptions!$C$38+0.005,NA(),((DCF!$C$21/(1+$B36)^DCF!$C$29+DCF!$D$21/(1+$B36)^DCF!$D$29+DCF!$E$21/(1+$B36)^DCF!$E$29+DCF!$F$21/(1+$B36)^DCF!$F$29)+((DCF!$G$6*F$27*(1-Assumptions!$C$29))+DCF!$G$15+DCF!$G$17+DCF!$G$20)/(1+$B36)^DCF!$G$29+((DCF!$G$6*F$27*(1-Assumptions!$C$29))+DCF!$G$15-DCF!$G$6*'Terminal Value'!$C$18+DCF!$G$20)*(1+Assumptions!$C$38)/($B36-Assumptions!$C$38)/(1+$B36)^'Terminal Value'!$C$39-Historicals!$G$70+Historicals!$G$69)/WACC!$C$22)</f>
        <v/>
      </c>
      <c r="G36" s="88">
        <f>IF($B36&lt;=Assumptions!$C$38+0.005,NA(),((DCF!$C$21/(1+$B36)^DCF!$C$29+DCF!$D$21/(1+$B36)^DCF!$D$29+DCF!$E$21/(1+$B36)^DCF!$E$29+DCF!$F$21/(1+$B36)^DCF!$F$29)+((DCF!$G$6*G$27*(1-Assumptions!$C$29))+DCF!$G$15+DCF!$G$17+DCF!$G$20)/(1+$B36)^DCF!$G$29+((DCF!$G$6*G$27*(1-Assumptions!$C$29))+DCF!$G$15-DCF!$G$6*'Terminal Value'!$C$18+DCF!$G$20)*(1+Assumptions!$C$38)/($B36-Assumptions!$C$38)/(1+$B36)^'Terminal Value'!$C$39-Historicals!$G$70+Historicals!$G$69)/WACC!$C$22)</f>
        <v/>
      </c>
    </row>
    <row r="37">
      <c r="B37" s="87" t="n">
        <v>0.1023</v>
      </c>
      <c r="C37" s="88">
        <f>IF($B37&lt;=Assumptions!$C$38+0.005,NA(),((DCF!$C$21/(1+$B37)^DCF!$C$29+DCF!$D$21/(1+$B37)^DCF!$D$29+DCF!$E$21/(1+$B37)^DCF!$E$29+DCF!$F$21/(1+$B37)^DCF!$F$29)+((DCF!$G$6*C$27*(1-Assumptions!$C$29))+DCF!$G$15+DCF!$G$17+DCF!$G$20)/(1+$B37)^DCF!$G$29+((DCF!$G$6*C$27*(1-Assumptions!$C$29))+DCF!$G$15-DCF!$G$6*'Terminal Value'!$C$18+DCF!$G$20)*(1+Assumptions!$C$38)/($B37-Assumptions!$C$38)/(1+$B37)^'Terminal Value'!$C$39-Historicals!$G$70+Historicals!$G$69)/WACC!$C$22)</f>
        <v/>
      </c>
      <c r="D37" s="88">
        <f>IF($B37&lt;=Assumptions!$C$38+0.005,NA(),((DCF!$C$21/(1+$B37)^DCF!$C$29+DCF!$D$21/(1+$B37)^DCF!$D$29+DCF!$E$21/(1+$B37)^DCF!$E$29+DCF!$F$21/(1+$B37)^DCF!$F$29)+((DCF!$G$6*D$27*(1-Assumptions!$C$29))+DCF!$G$15+DCF!$G$17+DCF!$G$20)/(1+$B37)^DCF!$G$29+((DCF!$G$6*D$27*(1-Assumptions!$C$29))+DCF!$G$15-DCF!$G$6*'Terminal Value'!$C$18+DCF!$G$20)*(1+Assumptions!$C$38)/($B37-Assumptions!$C$38)/(1+$B37)^'Terminal Value'!$C$39-Historicals!$G$70+Historicals!$G$69)/WACC!$C$22)</f>
        <v/>
      </c>
      <c r="E37" s="88">
        <f>IF($B37&lt;=Assumptions!$C$38+0.005,NA(),((DCF!$C$21/(1+$B37)^DCF!$C$29+DCF!$D$21/(1+$B37)^DCF!$D$29+DCF!$E$21/(1+$B37)^DCF!$E$29+DCF!$F$21/(1+$B37)^DCF!$F$29)+((DCF!$G$6*E$27*(1-Assumptions!$C$29))+DCF!$G$15+DCF!$G$17+DCF!$G$20)/(1+$B37)^DCF!$G$29+((DCF!$G$6*E$27*(1-Assumptions!$C$29))+DCF!$G$15-DCF!$G$6*'Terminal Value'!$C$18+DCF!$G$20)*(1+Assumptions!$C$38)/($B37-Assumptions!$C$38)/(1+$B37)^'Terminal Value'!$C$39-Historicals!$G$70+Historicals!$G$69)/WACC!$C$22)</f>
        <v/>
      </c>
      <c r="F37" s="88">
        <f>IF($B37&lt;=Assumptions!$C$38+0.005,NA(),((DCF!$C$21/(1+$B37)^DCF!$C$29+DCF!$D$21/(1+$B37)^DCF!$D$29+DCF!$E$21/(1+$B37)^DCF!$E$29+DCF!$F$21/(1+$B37)^DCF!$F$29)+((DCF!$G$6*F$27*(1-Assumptions!$C$29))+DCF!$G$15+DCF!$G$17+DCF!$G$20)/(1+$B37)^DCF!$G$29+((DCF!$G$6*F$27*(1-Assumptions!$C$29))+DCF!$G$15-DCF!$G$6*'Terminal Value'!$C$18+DCF!$G$20)*(1+Assumptions!$C$38)/($B37-Assumptions!$C$38)/(1+$B37)^'Terminal Value'!$C$39-Historicals!$G$70+Historicals!$G$69)/WACC!$C$22)</f>
        <v/>
      </c>
      <c r="G37" s="88">
        <f>IF($B37&lt;=Assumptions!$C$38+0.005,NA(),((DCF!$C$21/(1+$B37)^DCF!$C$29+DCF!$D$21/(1+$B37)^DCF!$D$29+DCF!$E$21/(1+$B37)^DCF!$E$29+DCF!$F$21/(1+$B37)^DCF!$F$29)+((DCF!$G$6*G$27*(1-Assumptions!$C$29))+DCF!$G$15+DCF!$G$17+DCF!$G$20)/(1+$B37)^DCF!$G$29+((DCF!$G$6*G$27*(1-Assumptions!$C$29))+DCF!$G$15-DCF!$G$6*'Terminal Value'!$C$18+DCF!$G$20)*(1+Assumptions!$C$38)/($B37-Assumptions!$C$38)/(1+$B37)^'Terminal Value'!$C$39-Historicals!$G$70+Historicals!$G$69)/WACC!$C$22)</f>
        <v/>
      </c>
    </row>
    <row r="38">
      <c r="B38" s="87" t="n">
        <v>0.1048</v>
      </c>
      <c r="C38" s="88">
        <f>IF($B38&lt;=Assumptions!$C$38+0.005,NA(),((DCF!$C$21/(1+$B38)^DCF!$C$29+DCF!$D$21/(1+$B38)^DCF!$D$29+DCF!$E$21/(1+$B38)^DCF!$E$29+DCF!$F$21/(1+$B38)^DCF!$F$29)+((DCF!$G$6*C$27*(1-Assumptions!$C$29))+DCF!$G$15+DCF!$G$17+DCF!$G$20)/(1+$B38)^DCF!$G$29+((DCF!$G$6*C$27*(1-Assumptions!$C$29))+DCF!$G$15-DCF!$G$6*'Terminal Value'!$C$18+DCF!$G$20)*(1+Assumptions!$C$38)/($B38-Assumptions!$C$38)/(1+$B38)^'Terminal Value'!$C$39-Historicals!$G$70+Historicals!$G$69)/WACC!$C$22)</f>
        <v/>
      </c>
      <c r="D38" s="88">
        <f>IF($B38&lt;=Assumptions!$C$38+0.005,NA(),((DCF!$C$21/(1+$B38)^DCF!$C$29+DCF!$D$21/(1+$B38)^DCF!$D$29+DCF!$E$21/(1+$B38)^DCF!$E$29+DCF!$F$21/(1+$B38)^DCF!$F$29)+((DCF!$G$6*D$27*(1-Assumptions!$C$29))+DCF!$G$15+DCF!$G$17+DCF!$G$20)/(1+$B38)^DCF!$G$29+((DCF!$G$6*D$27*(1-Assumptions!$C$29))+DCF!$G$15-DCF!$G$6*'Terminal Value'!$C$18+DCF!$G$20)*(1+Assumptions!$C$38)/($B38-Assumptions!$C$38)/(1+$B38)^'Terminal Value'!$C$39-Historicals!$G$70+Historicals!$G$69)/WACC!$C$22)</f>
        <v/>
      </c>
      <c r="E38" s="88">
        <f>IF($B38&lt;=Assumptions!$C$38+0.005,NA(),((DCF!$C$21/(1+$B38)^DCF!$C$29+DCF!$D$21/(1+$B38)^DCF!$D$29+DCF!$E$21/(1+$B38)^DCF!$E$29+DCF!$F$21/(1+$B38)^DCF!$F$29)+((DCF!$G$6*E$27*(1-Assumptions!$C$29))+DCF!$G$15+DCF!$G$17+DCF!$G$20)/(1+$B38)^DCF!$G$29+((DCF!$G$6*E$27*(1-Assumptions!$C$29))+DCF!$G$15-DCF!$G$6*'Terminal Value'!$C$18+DCF!$G$20)*(1+Assumptions!$C$38)/($B38-Assumptions!$C$38)/(1+$B38)^'Terminal Value'!$C$39-Historicals!$G$70+Historicals!$G$69)/WACC!$C$22)</f>
        <v/>
      </c>
      <c r="F38" s="88">
        <f>IF($B38&lt;=Assumptions!$C$38+0.005,NA(),((DCF!$C$21/(1+$B38)^DCF!$C$29+DCF!$D$21/(1+$B38)^DCF!$D$29+DCF!$E$21/(1+$B38)^DCF!$E$29+DCF!$F$21/(1+$B38)^DCF!$F$29)+((DCF!$G$6*F$27*(1-Assumptions!$C$29))+DCF!$G$15+DCF!$G$17+DCF!$G$20)/(1+$B38)^DCF!$G$29+((DCF!$G$6*F$27*(1-Assumptions!$C$29))+DCF!$G$15-DCF!$G$6*'Terminal Value'!$C$18+DCF!$G$20)*(1+Assumptions!$C$38)/($B38-Assumptions!$C$38)/(1+$B38)^'Terminal Value'!$C$39-Historicals!$G$70+Historicals!$G$69)/WACC!$C$22)</f>
        <v/>
      </c>
      <c r="G38" s="88">
        <f>IF($B38&lt;=Assumptions!$C$38+0.005,NA(),((DCF!$C$21/(1+$B38)^DCF!$C$29+DCF!$D$21/(1+$B38)^DCF!$D$29+DCF!$E$21/(1+$B38)^DCF!$E$29+DCF!$F$21/(1+$B38)^DCF!$F$29)+((DCF!$G$6*G$27*(1-Assumptions!$C$29))+DCF!$G$15+DCF!$G$17+DCF!$G$20)/(1+$B38)^DCF!$G$29+((DCF!$G$6*G$27*(1-Assumptions!$C$29))+DCF!$G$15-DCF!$G$6*'Terminal Value'!$C$18+DCF!$G$20)*(1+Assumptions!$C$38)/($B38-Assumptions!$C$38)/(1+$B38)^'Terminal Value'!$C$39-Historicals!$G$70+Historicals!$G$69)/WACC!$C$22)</f>
        <v/>
      </c>
    </row>
    <row r="39">
      <c r="B39" s="87" t="n">
        <v>0.1073</v>
      </c>
      <c r="C39" s="88">
        <f>IF($B39&lt;=Assumptions!$C$38+0.005,NA(),((DCF!$C$21/(1+$B39)^DCF!$C$29+DCF!$D$21/(1+$B39)^DCF!$D$29+DCF!$E$21/(1+$B39)^DCF!$E$29+DCF!$F$21/(1+$B39)^DCF!$F$29)+((DCF!$G$6*C$27*(1-Assumptions!$C$29))+DCF!$G$15+DCF!$G$17+DCF!$G$20)/(1+$B39)^DCF!$G$29+((DCF!$G$6*C$27*(1-Assumptions!$C$29))+DCF!$G$15-DCF!$G$6*'Terminal Value'!$C$18+DCF!$G$20)*(1+Assumptions!$C$38)/($B39-Assumptions!$C$38)/(1+$B39)^'Terminal Value'!$C$39-Historicals!$G$70+Historicals!$G$69)/WACC!$C$22)</f>
        <v/>
      </c>
      <c r="D39" s="88">
        <f>IF($B39&lt;=Assumptions!$C$38+0.005,NA(),((DCF!$C$21/(1+$B39)^DCF!$C$29+DCF!$D$21/(1+$B39)^DCF!$D$29+DCF!$E$21/(1+$B39)^DCF!$E$29+DCF!$F$21/(1+$B39)^DCF!$F$29)+((DCF!$G$6*D$27*(1-Assumptions!$C$29))+DCF!$G$15+DCF!$G$17+DCF!$G$20)/(1+$B39)^DCF!$G$29+((DCF!$G$6*D$27*(1-Assumptions!$C$29))+DCF!$G$15-DCF!$G$6*'Terminal Value'!$C$18+DCF!$G$20)*(1+Assumptions!$C$38)/($B39-Assumptions!$C$38)/(1+$B39)^'Terminal Value'!$C$39-Historicals!$G$70+Historicals!$G$69)/WACC!$C$22)</f>
        <v/>
      </c>
      <c r="E39" s="88">
        <f>IF($B39&lt;=Assumptions!$C$38+0.005,NA(),((DCF!$C$21/(1+$B39)^DCF!$C$29+DCF!$D$21/(1+$B39)^DCF!$D$29+DCF!$E$21/(1+$B39)^DCF!$E$29+DCF!$F$21/(1+$B39)^DCF!$F$29)+((DCF!$G$6*E$27*(1-Assumptions!$C$29))+DCF!$G$15+DCF!$G$17+DCF!$G$20)/(1+$B39)^DCF!$G$29+((DCF!$G$6*E$27*(1-Assumptions!$C$29))+DCF!$G$15-DCF!$G$6*'Terminal Value'!$C$18+DCF!$G$20)*(1+Assumptions!$C$38)/($B39-Assumptions!$C$38)/(1+$B39)^'Terminal Value'!$C$39-Historicals!$G$70+Historicals!$G$69)/WACC!$C$22)</f>
        <v/>
      </c>
      <c r="F39" s="88">
        <f>IF($B39&lt;=Assumptions!$C$38+0.005,NA(),((DCF!$C$21/(1+$B39)^DCF!$C$29+DCF!$D$21/(1+$B39)^DCF!$D$29+DCF!$E$21/(1+$B39)^DCF!$E$29+DCF!$F$21/(1+$B39)^DCF!$F$29)+((DCF!$G$6*F$27*(1-Assumptions!$C$29))+DCF!$G$15+DCF!$G$17+DCF!$G$20)/(1+$B39)^DCF!$G$29+((DCF!$G$6*F$27*(1-Assumptions!$C$29))+DCF!$G$15-DCF!$G$6*'Terminal Value'!$C$18+DCF!$G$20)*(1+Assumptions!$C$38)/($B39-Assumptions!$C$38)/(1+$B39)^'Terminal Value'!$C$39-Historicals!$G$70+Historicals!$G$69)/WACC!$C$22)</f>
        <v/>
      </c>
      <c r="G39" s="88">
        <f>IF($B39&lt;=Assumptions!$C$38+0.005,NA(),((DCF!$C$21/(1+$B39)^DCF!$C$29+DCF!$D$21/(1+$B39)^DCF!$D$29+DCF!$E$21/(1+$B39)^DCF!$E$29+DCF!$F$21/(1+$B39)^DCF!$F$29)+((DCF!$G$6*G$27*(1-Assumptions!$C$29))+DCF!$G$15+DCF!$G$17+DCF!$G$20)/(1+$B39)^DCF!$G$29+((DCF!$G$6*G$27*(1-Assumptions!$C$29))+DCF!$G$15-DCF!$G$6*'Terminal Value'!$C$18+DCF!$G$20)*(1+Assumptions!$C$38)/($B39-Assumptions!$C$38)/(1+$B39)^'Terminal Value'!$C$39-Historicals!$G$70+Historicals!$G$69)/WACC!$C$22)</f>
        <v/>
      </c>
    </row>
    <row r="40">
      <c r="B40" s="87" t="n">
        <v>0.1098</v>
      </c>
      <c r="C40" s="88">
        <f>IF($B40&lt;=Assumptions!$C$38+0.005,NA(),((DCF!$C$21/(1+$B40)^DCF!$C$29+DCF!$D$21/(1+$B40)^DCF!$D$29+DCF!$E$21/(1+$B40)^DCF!$E$29+DCF!$F$21/(1+$B40)^DCF!$F$29)+((DCF!$G$6*C$27*(1-Assumptions!$C$29))+DCF!$G$15+DCF!$G$17+DCF!$G$20)/(1+$B40)^DCF!$G$29+((DCF!$G$6*C$27*(1-Assumptions!$C$29))+DCF!$G$15-DCF!$G$6*'Terminal Value'!$C$18+DCF!$G$20)*(1+Assumptions!$C$38)/($B40-Assumptions!$C$38)/(1+$B40)^'Terminal Value'!$C$39-Historicals!$G$70+Historicals!$G$69)/WACC!$C$22)</f>
        <v/>
      </c>
      <c r="D40" s="88">
        <f>IF($B40&lt;=Assumptions!$C$38+0.005,NA(),((DCF!$C$21/(1+$B40)^DCF!$C$29+DCF!$D$21/(1+$B40)^DCF!$D$29+DCF!$E$21/(1+$B40)^DCF!$E$29+DCF!$F$21/(1+$B40)^DCF!$F$29)+((DCF!$G$6*D$27*(1-Assumptions!$C$29))+DCF!$G$15+DCF!$G$17+DCF!$G$20)/(1+$B40)^DCF!$G$29+((DCF!$G$6*D$27*(1-Assumptions!$C$29))+DCF!$G$15-DCF!$G$6*'Terminal Value'!$C$18+DCF!$G$20)*(1+Assumptions!$C$38)/($B40-Assumptions!$C$38)/(1+$B40)^'Terminal Value'!$C$39-Historicals!$G$70+Historicals!$G$69)/WACC!$C$22)</f>
        <v/>
      </c>
      <c r="E40" s="88">
        <f>IF($B40&lt;=Assumptions!$C$38+0.005,NA(),((DCF!$C$21/(1+$B40)^DCF!$C$29+DCF!$D$21/(1+$B40)^DCF!$D$29+DCF!$E$21/(1+$B40)^DCF!$E$29+DCF!$F$21/(1+$B40)^DCF!$F$29)+((DCF!$G$6*E$27*(1-Assumptions!$C$29))+DCF!$G$15+DCF!$G$17+DCF!$G$20)/(1+$B40)^DCF!$G$29+((DCF!$G$6*E$27*(1-Assumptions!$C$29))+DCF!$G$15-DCF!$G$6*'Terminal Value'!$C$18+DCF!$G$20)*(1+Assumptions!$C$38)/($B40-Assumptions!$C$38)/(1+$B40)^'Terminal Value'!$C$39-Historicals!$G$70+Historicals!$G$69)/WACC!$C$22)</f>
        <v/>
      </c>
      <c r="F40" s="88">
        <f>IF($B40&lt;=Assumptions!$C$38+0.005,NA(),((DCF!$C$21/(1+$B40)^DCF!$C$29+DCF!$D$21/(1+$B40)^DCF!$D$29+DCF!$E$21/(1+$B40)^DCF!$E$29+DCF!$F$21/(1+$B40)^DCF!$F$29)+((DCF!$G$6*F$27*(1-Assumptions!$C$29))+DCF!$G$15+DCF!$G$17+DCF!$G$20)/(1+$B40)^DCF!$G$29+((DCF!$G$6*F$27*(1-Assumptions!$C$29))+DCF!$G$15-DCF!$G$6*'Terminal Value'!$C$18+DCF!$G$20)*(1+Assumptions!$C$38)/($B40-Assumptions!$C$38)/(1+$B40)^'Terminal Value'!$C$39-Historicals!$G$70+Historicals!$G$69)/WACC!$C$22)</f>
        <v/>
      </c>
      <c r="G40" s="88">
        <f>IF($B40&lt;=Assumptions!$C$38+0.005,NA(),((DCF!$C$21/(1+$B40)^DCF!$C$29+DCF!$D$21/(1+$B40)^DCF!$D$29+DCF!$E$21/(1+$B40)^DCF!$E$29+DCF!$F$21/(1+$B40)^DCF!$F$29)+((DCF!$G$6*G$27*(1-Assumptions!$C$29))+DCF!$G$15+DCF!$G$17+DCF!$G$20)/(1+$B40)^DCF!$G$29+((DCF!$G$6*G$27*(1-Assumptions!$C$29))+DCF!$G$15-DCF!$G$6*'Terminal Value'!$C$18+DCF!$G$20)*(1+Assumptions!$C$38)/($B40-Assumptions!$C$38)/(1+$B40)^'Terminal Value'!$C$39-Historicals!$G$70+Historicals!$G$69)/WACC!$C$22)</f>
        <v/>
      </c>
    </row>
    <row r="41">
      <c r="A41" s="20" t="inlineStr">
        <is>
          <t>Base case (16.3% terminal margin) is the shaded cell. Margin columns step 150bps.</t>
        </is>
      </c>
    </row>
    <row r="43">
      <c r="A43" s="20" t="inlineStr">
        <is>
          <t>Reading these tables: the vertical spread (WACC) is wider than the horizontal spread in Table A, which tells you the answer is more sensitive to the discount rate than to terminal growth.</t>
        </is>
      </c>
    </row>
  </sheetData>
  <conditionalFormatting sqref="C8:I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8:G4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2026-09-12T06:29:07Z</dcterms:created>
  <dcterms:modified xsi:type="dcterms:W3CDTF">2026-09-12T06:29:07Z</dcterms:modified>
</cp:coreProperties>
</file>